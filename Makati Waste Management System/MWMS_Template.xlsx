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2.xml" ContentType="application/vnd.ms-excel.documenttasks+xml"/>
  <Override PartName="/xl/threadedComments/threadedComment2.xml" ContentType="application/vnd.ms-excel.threadedcomments+xml"/>
  <Override PartName="/xl/documenttasks/documenttask3.xml" ContentType="application/vnd.ms-excel.documenttask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IVAN\Downloads\"/>
    </mc:Choice>
  </mc:AlternateContent>
  <xr:revisionPtr revIDLastSave="0" documentId="13_ncr:1_{F4C6640D-AF0A-4797-A989-7527959AB3CA}" xr6:coauthVersionLast="47" xr6:coauthVersionMax="47" xr10:uidLastSave="{00000000-0000-0000-0000-000000000000}"/>
  <bookViews>
    <workbookView xWindow="-120" yWindow="-120" windowWidth="29040" windowHeight="15720" xr2:uid="{00000000-000D-0000-FFFF-FFFF00000000}"/>
  </bookViews>
  <sheets>
    <sheet name="REGRESSION TEMPLATE" sheetId="5" r:id="rId1"/>
    <sheet name="Regression 81225" sheetId="25" state="hidden" r:id="rId2"/>
    <sheet name="Regression 81325" sheetId="26" state="hidden" r:id="rId3"/>
    <sheet name="Regression - June 23, 2025" sheetId="27" state="hidden" r:id="rId4"/>
    <sheet name="Regression - April 2, 2025" sheetId="30" state="hidden" r:id="rId5"/>
    <sheet name="Regression - March 24, 2025" sheetId="31" state="hidden" r:id="rId6"/>
    <sheet name="Regression - March 21, 2025" sheetId="32" state="hidden" r:id="rId7"/>
    <sheet name="71525 - ADMIN" sheetId="33" state="hidden" r:id="rId8"/>
    <sheet name="71525 - TAX PAYER" sheetId="34" state="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 i="34" l="1"/>
  <c r="B6" i="34"/>
  <c r="B5" i="34"/>
  <c r="C5" i="34" s="1"/>
  <c r="B4" i="34"/>
  <c r="C4" i="34" s="1"/>
  <c r="B3" i="34"/>
  <c r="B7" i="34" s="1"/>
  <c r="C7" i="34" s="1"/>
  <c r="B6" i="33"/>
  <c r="C6" i="33" s="1"/>
  <c r="B5" i="33"/>
  <c r="C5" i="33" s="1"/>
  <c r="B4" i="33"/>
  <c r="C4" i="33" s="1"/>
  <c r="D3" i="33"/>
  <c r="B3" i="33"/>
  <c r="B7" i="33" s="1"/>
  <c r="C7" i="33" s="1"/>
  <c r="I14" i="32"/>
  <c r="J14" i="32" s="1"/>
  <c r="I13" i="32"/>
  <c r="I12" i="32"/>
  <c r="I11" i="32"/>
  <c r="I15" i="32" s="1"/>
  <c r="I26" i="30"/>
  <c r="I25" i="30"/>
  <c r="I24" i="30"/>
  <c r="I23" i="30"/>
  <c r="N17" i="30"/>
  <c r="I14" i="30"/>
  <c r="I13" i="30"/>
  <c r="N18" i="30" s="1"/>
  <c r="I12" i="30"/>
  <c r="I11" i="30"/>
  <c r="I14" i="27"/>
  <c r="I13" i="27"/>
  <c r="I12" i="27"/>
  <c r="I11" i="27"/>
  <c r="I15" i="27" s="1"/>
  <c r="B191" i="26"/>
  <c r="B190" i="26"/>
  <c r="B189" i="26"/>
  <c r="C189" i="26" s="1"/>
  <c r="B188" i="26"/>
  <c r="B192" i="26" s="1"/>
  <c r="G6" i="26"/>
  <c r="B6" i="26"/>
  <c r="C6" i="26" s="1"/>
  <c r="G5" i="26"/>
  <c r="B5" i="26"/>
  <c r="B4" i="26"/>
  <c r="B3" i="26"/>
  <c r="B7" i="26" s="1"/>
  <c r="C5" i="26" s="1"/>
  <c r="B191" i="25"/>
  <c r="B190" i="25"/>
  <c r="B189" i="25"/>
  <c r="B188" i="25"/>
  <c r="B6" i="25"/>
  <c r="B5" i="25"/>
  <c r="G5" i="25" s="1"/>
  <c r="G4" i="25"/>
  <c r="B4" i="25"/>
  <c r="B3" i="25"/>
  <c r="G3" i="25" s="1"/>
  <c r="B301" i="5"/>
  <c r="B300" i="5"/>
  <c r="B299" i="5"/>
  <c r="B302" i="5" s="1"/>
  <c r="B6" i="5"/>
  <c r="G6" i="5" s="1"/>
  <c r="B5" i="5"/>
  <c r="G5" i="5" s="1"/>
  <c r="B4" i="5"/>
  <c r="G4" i="5" s="1"/>
  <c r="C190" i="26" l="1"/>
  <c r="C188" i="26"/>
  <c r="D188" i="26"/>
  <c r="C192" i="26"/>
  <c r="J14" i="30"/>
  <c r="C191" i="26"/>
  <c r="K11" i="27"/>
  <c r="J11" i="27"/>
  <c r="J15" i="27"/>
  <c r="J12" i="27"/>
  <c r="J13" i="27"/>
  <c r="G7" i="5"/>
  <c r="H5" i="5" s="1"/>
  <c r="J4" i="5" s="1"/>
  <c r="C4" i="26"/>
  <c r="J14" i="27"/>
  <c r="D3" i="26"/>
  <c r="J11" i="32"/>
  <c r="J13" i="32"/>
  <c r="K11" i="32"/>
  <c r="J15" i="32"/>
  <c r="C6" i="25"/>
  <c r="G7" i="25"/>
  <c r="H7" i="25" s="1"/>
  <c r="J12" i="32"/>
  <c r="G6" i="25"/>
  <c r="G4" i="26"/>
  <c r="B7" i="25"/>
  <c r="N19" i="30"/>
  <c r="I27" i="30"/>
  <c r="C3" i="34"/>
  <c r="B192" i="25"/>
  <c r="C189" i="25" s="1"/>
  <c r="C3" i="33"/>
  <c r="D3" i="34"/>
  <c r="C3" i="26"/>
  <c r="C7" i="26" s="1"/>
  <c r="I15" i="30"/>
  <c r="J23" i="30"/>
  <c r="B7" i="5"/>
  <c r="C6" i="5" s="1"/>
  <c r="C5" i="25"/>
  <c r="N16" i="30"/>
  <c r="G3" i="26"/>
  <c r="J11" i="30"/>
  <c r="H4" i="25" l="1"/>
  <c r="C190" i="25"/>
  <c r="C191" i="25"/>
  <c r="N20" i="30"/>
  <c r="J13" i="30"/>
  <c r="J12" i="30"/>
  <c r="H6" i="25"/>
  <c r="H4" i="5"/>
  <c r="C188" i="25"/>
  <c r="C5" i="5"/>
  <c r="D4" i="5" s="1"/>
  <c r="H6" i="5"/>
  <c r="J24" i="30"/>
  <c r="J26" i="30"/>
  <c r="J25" i="30"/>
  <c r="I3" i="25"/>
  <c r="H5" i="25"/>
  <c r="K23" i="30"/>
  <c r="K11" i="30"/>
  <c r="C3" i="25"/>
  <c r="D188" i="25"/>
  <c r="C4" i="25"/>
  <c r="C192" i="25"/>
  <c r="C4" i="5"/>
  <c r="G7" i="26"/>
  <c r="H3" i="26" s="1"/>
  <c r="D3" i="25"/>
  <c r="C7" i="25"/>
  <c r="H3" i="25"/>
  <c r="O18" i="30" l="1"/>
  <c r="O17" i="30"/>
  <c r="O16" i="30"/>
  <c r="P16" i="30"/>
  <c r="I3" i="26"/>
  <c r="H5" i="26"/>
  <c r="H6" i="26"/>
  <c r="H4" i="26"/>
  <c r="H7" i="26" s="1"/>
  <c r="O19"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tc={24ad22da-a614-41d5-9eb6-b98d9670b2c9}</author>
    <author>tc={988322b4-fec7-4e81-8300-016b5a21cb54}</author>
    <author>tc={ebecfcdd-ba85-42bf-8be5-99b2be082b3f}</author>
    <author>tc={db4d741a-5543-4189-a68d-34774288feca}</author>
  </authors>
  <commentList>
    <comment ref="E11" authorId="0" shapeId="0" xr:uid="{24AD22DA-A614-41D5-9EB6-B98D9670B2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waiting to confirm with updated BRD
</t>
        </r>
      </text>
    </comment>
    <comment ref="E13" authorId="1" shapeId="0" xr:uid="{988322B4-FEC7-4E81-8300-016B5A21CB5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waiting to confirm with updated BRD
</t>
        </r>
      </text>
    </comment>
    <comment ref="E15" authorId="2" shapeId="0" xr:uid="{EBECFCDD-BA85-42BF-8BE5-99B2BE082B3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waiting to confirm with updated BRD
</t>
        </r>
      </text>
    </comment>
    <comment ref="E34" authorId="3" shapeId="0" xr:uid="{DB4D741A-5543-4189-A68D-34774288FE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waiting to confirm with updated BRD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tc={1dd1be87-57b4-4ddf-9a6c-6bcae21ca3ea}</author>
  </authors>
  <commentList>
    <comment ref="B30" authorId="0" shapeId="0" xr:uid="{1DD1BE87-57B4-4DDF-9A6C-6BCAE21CA3E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All view button are remove
</t>
        </r>
      </text>
    </comment>
  </commentList>
</comments>
</file>

<file path=xl/sharedStrings.xml><?xml version="1.0" encoding="utf-8"?>
<sst xmlns="http://schemas.openxmlformats.org/spreadsheetml/2006/main" count="6631" uniqueCount="2325">
  <si>
    <t>SUMMARY : MWMS - ADMIN</t>
  </si>
  <si>
    <t>SUMMARY : OVERALL PROGRESS</t>
  </si>
  <si>
    <t>Count</t>
  </si>
  <si>
    <t>%</t>
  </si>
  <si>
    <t>%PASSED</t>
  </si>
  <si>
    <t>Test Scripts NOT YET STARTED</t>
  </si>
  <si>
    <t>Test Scripts NOT STARTED</t>
  </si>
  <si>
    <t>Test Scripts IN PROGRESS</t>
  </si>
  <si>
    <t>Test Scripts PASSED</t>
  </si>
  <si>
    <t>Test Scripts FAILED</t>
  </si>
  <si>
    <t>Total</t>
  </si>
  <si>
    <t>User Story (Feature/Module)</t>
  </si>
  <si>
    <t>Test Case</t>
  </si>
  <si>
    <t>Pre condition/Assumption</t>
  </si>
  <si>
    <t>Test Steps</t>
  </si>
  <si>
    <t>Expected Results</t>
  </si>
  <si>
    <t>Status</t>
  </si>
  <si>
    <t>Remarks</t>
  </si>
  <si>
    <t>ADMIN LOGIN</t>
  </si>
  <si>
    <t>As an Admin, I can log in using my username &amp; password</t>
  </si>
  <si>
    <t>Validate that an admin can log in with valid credentials.</t>
  </si>
  <si>
    <t>1. The admin portal is accessible through web browser.
2. The admin account credentials are already created in the database.
3. The login page has fields for entering a username and password.
4. The system has validation rules for input fields (e.g., email format, password complexity).
5. Error messages are configured to display for incorrect or missing inputs.</t>
  </si>
  <si>
    <t>1. Open the login page.
2. Enter a valid admin username.
3. Enter a valid password.
4. Click the "Log In" button.
5. Verify that the admin is redirected to dashboard
after logging in</t>
  </si>
  <si>
    <t>The admin successfully logs in and redirects to the dashboard.</t>
  </si>
  <si>
    <t>PASSED</t>
  </si>
  <si>
    <t>Verify that a non-admin user cannot  be used to log in as an admin</t>
  </si>
  <si>
    <t>1. Open the login page.
2. Enter a regular (non-admin) user’s credentials.
3. Click the "Log In" button.
4. Verify that the login attempt status</t>
  </si>
  <si>
    <t>1.) The system displays an error message: 
"Incorrect Login: Invalid Username or Password."
2.) The admin is not logged in.</t>
  </si>
  <si>
    <t>Validate that the system does not accept login attempts 
without both username and password</t>
  </si>
  <si>
    <t>1. Go the the Login Page
2. When entering the credentials, 
leave the username and/or password field blank.
3. Click the "Log In" button.
4. Verify that an error message appears 
prompting the user to fill in the missing fields.</t>
  </si>
  <si>
    <t>The system shows "Email is required" and "Password is required" messages and prevents login.</t>
  </si>
  <si>
    <t>Verify that the password field is properly masked for security purposes</t>
  </si>
  <si>
    <t>1. Open the login page.
2. Enter a password in the password field.
3.Verify that the password is masked 
(An icon that will display the password as dots).</t>
  </si>
  <si>
    <t>When clicking the eye icon, the password 
will display as dots (••••••••••).</t>
  </si>
  <si>
    <t>Verify that a Log In button must be clearly visible and easy to spot</t>
  </si>
  <si>
    <t>1. Open the login page.
2. Verify that the "Log In" button is visible and easy to spot</t>
  </si>
  <si>
    <t>the "Log In" button is visible and easy to spot.</t>
  </si>
  <si>
    <t>As an Admin, I can make announcements with or without files attached</t>
  </si>
  <si>
    <t>Verify that the user can add announcements with or without files</t>
  </si>
  <si>
    <t>Logged in as Admin</t>
  </si>
  <si>
    <t>1. Navigate the dashboard
2. Locate the announcement tab
3. Click Add Announcement
4. Make an announcement with or without file attachment</t>
  </si>
  <si>
    <t>The announcement cannot be posted when it has files, otherwise the announcement can be posted if no files are included</t>
  </si>
  <si>
    <t>FAILED</t>
  </si>
  <si>
    <t>As an Admin, I can edit or delete announcements</t>
  </si>
  <si>
    <t>Verify that the admin can edit the announcements</t>
  </si>
  <si>
    <t>Admin is logged in</t>
  </si>
  <si>
    <t>1. Navigate the dashboard
2. Locate the announcement tab
3. Choose any pre-posted announcement 
4. Click edit
5. Confirm edit on the announcement</t>
  </si>
  <si>
    <t>The Admin successfully edits the announcement</t>
  </si>
  <si>
    <t>Verify that the admin can delete announcements</t>
  </si>
  <si>
    <t>1. Navigate the dashboard
2. Locate the announcement tab
3. Choose any pre-posted announcement 
4. Click Delete
5. Confirm Delete for the announcement</t>
  </si>
  <si>
    <t>The Admin successfuly deletes the announcement</t>
  </si>
  <si>
    <t>As an Admin, I want to Add, Edit and Delete process flow and Guide on Dashboard</t>
  </si>
  <si>
    <t>Verify if the Admin user can process flow and Guide</t>
  </si>
  <si>
    <t>The process flow and guide successfully displayed on Dashboard</t>
  </si>
  <si>
    <t>Verify if the Admin user can update process flow and Guide</t>
  </si>
  <si>
    <t>The process flow and guide successfully updated.</t>
  </si>
  <si>
    <t>Verify if the Admin user can delete process flow and Guide</t>
  </si>
  <si>
    <t>The process flow and guide successfully Deleted</t>
  </si>
  <si>
    <t>As an Admin, I want to Add, Edit and Delete Campain on Dashboard</t>
  </si>
  <si>
    <t>Verify if the Admin user can Add campaigns</t>
  </si>
  <si>
    <t>The campaign successfully Displayed on Dashboard</t>
  </si>
  <si>
    <t>Verify if the admin user can edit campaigns</t>
  </si>
  <si>
    <t>The campaign successfully updated</t>
  </si>
  <si>
    <t>Verify if the Admin user can delete campain</t>
  </si>
  <si>
    <t>As an Admin, I want to Add, Edit and Delete Reference on dashboard</t>
  </si>
  <si>
    <t>Verify if the admin can Add reference</t>
  </si>
  <si>
    <t>The Reference successfully displayed on dashboard</t>
  </si>
  <si>
    <t>Verify if the admin user can edit reference</t>
  </si>
  <si>
    <t>The Reference successfullyUpdated on dashboard</t>
  </si>
  <si>
    <t>Verify if the admin user can delete reference</t>
  </si>
  <si>
    <t>The Reference successfully Deleted on dashboard</t>
  </si>
  <si>
    <t>As an admin, I want to search the dashboard to quickly find accurate results, with dynamic updates and feedback for invalid queries.</t>
  </si>
  <si>
    <t>Validate that entering a valid search query displays accurate and relevant results</t>
  </si>
  <si>
    <t>Admin user is logged into the dashboard.
There is data that is searchable</t>
  </si>
  <si>
    <t>1.Navigate to the dashboard.
2.Locate the search bar.
3.Enter a valid search query that corresponds to existing data.
4.Press the Search button or hit Enter</t>
  </si>
  <si>
    <t>The system must display only the relevant results matching the search query without showing any unrelated data.</t>
  </si>
  <si>
    <t>Validate that the search functionality supports different input types, such as partial matches, special characters, or case-insensitive queries, and accurately returns results.</t>
  </si>
  <si>
    <t>1.Navigate to the dashboard.
2.Locate the search bar.
3.Enter a valid search query that is only a partial match to existing data.
4.Press the Search button or hit Enter</t>
  </si>
  <si>
    <t>The system displays matching data to the partial one inputed by the user</t>
  </si>
  <si>
    <t>ADMIN USER MANAGMENT MODULE: ACCOUNTS</t>
  </si>
  <si>
    <t>As an Admin I can view all tables under User Managment</t>
  </si>
  <si>
    <t>verify that admin can view Account module under User Management sidebar</t>
  </si>
  <si>
    <t>User Management – Accounts page is displayed with user list and account management options.</t>
  </si>
  <si>
    <t>1. Click Internal button on the Internal page.</t>
  </si>
  <si>
    <t>Admin is redirected directly to the Registered Accounts – Internal table list and can verify that the data is displayed.</t>
  </si>
  <si>
    <t>Admin can view account details such as Employee No., Name, Email, Contact Number, Role, Registration Date, and Actions.</t>
  </si>
  <si>
    <t>1. Click External button on the external page.</t>
  </si>
  <si>
    <t>Admin is redirected directly to the Registered Accounts – External table list and can verify that the data is displayed.</t>
  </si>
  <si>
    <t>Verify Admin Can See Pagination Controls for both Internal and External</t>
  </si>
  <si>
    <t>-Pagination controls are visible when records exceed the display limit.</t>
  </si>
  <si>
    <t>Verify External Button Visibility</t>
  </si>
  <si>
    <t>Admin can see and verify the External button on the Accounts module.</t>
  </si>
  <si>
    <t>Verify Admin can view Create Account Button</t>
  </si>
  <si>
    <t>1. Go to External Accounts page.</t>
  </si>
  <si>
    <t>Admin can see and verify that the Create Account button is visible on the page.</t>
  </si>
  <si>
    <t>Verify Admin can Create External Account</t>
  </si>
  <si>
    <t>Verify that admin can create account using create account button</t>
  </si>
  <si>
    <t>Admin is navigated to the Account Information page/form to input new account details.</t>
  </si>
  <si>
    <t>Verify that Admin can fill out and submit the Create Account form</t>
  </si>
  <si>
    <t>The new account is successfully created and appears in the Internal Registered Accounts list.</t>
  </si>
  <si>
    <t>Verify that Admin can import accounts using Import button</t>
  </si>
  <si>
    <t>The system successfully imports the accounts, and the new accounts appear in the Internal Registered Accounts list.</t>
  </si>
  <si>
    <t>Verify Admin can Close Account Creation Form</t>
  </si>
  <si>
    <t>-Form is closed without saving any data, and Admin can verify that no new record is added.</t>
  </si>
  <si>
    <t>Verify Admin can View created Account Information</t>
  </si>
  <si>
    <t>-Admin can view and verify the account details are displayed correctly.</t>
  </si>
  <si>
    <t>Verify that Admin can delete a registered account (Internal)</t>
  </si>
  <si>
    <t>Verify that the admin can input data into the search bar</t>
  </si>
  <si>
    <t>-The admin can successfully type data in the search bar</t>
  </si>
  <si>
    <t>Verify that the system displays accurate data based on admin's search data</t>
  </si>
  <si>
    <t>Verify if the admin can input all the fields in the filter feature</t>
  </si>
  <si>
    <t>Verify that the admin can apply filters using the entered values in the filter feature.</t>
  </si>
  <si>
    <t>-The system displays the data based on the desired filter option inputted by the admin</t>
  </si>
  <si>
    <t>Verify Admin Can Search Accounts</t>
  </si>
  <si>
    <t>1. Enter valid details in Search bar (User No, Last Name, First Name, Role, etc.).</t>
  </si>
  <si>
    <t>- Admin can verify that only the matching results are displayed.</t>
  </si>
  <si>
    <t>Verify Admin Can See ‘No Data Found’ When Search Has No Results</t>
  </si>
  <si>
    <t>1. Enter invalid or non-existing keyword.</t>
  </si>
  <si>
    <t>-Message displayed: “No data found”, and Admin can verify no records appear.</t>
  </si>
  <si>
    <t>Verify Admin Can Apply Filter</t>
  </si>
  <si>
    <t>Verify that the admin can close the filter feautre</t>
  </si>
  <si>
    <t>-The filter feature closes successfully.</t>
  </si>
  <si>
    <t>Verify Admin Can Edit Account Information</t>
  </si>
  <si>
    <t>As an Admin I can Import a file</t>
  </si>
  <si>
    <t>Verify Admin Can Import File</t>
  </si>
  <si>
    <t>Verify Admin Can Close Import Page Without Uploading</t>
  </si>
  <si>
    <t>-Import modal closes without uploading, and Admin can verify no new data was added.</t>
  </si>
  <si>
    <t>As an Admin I can Export a file</t>
  </si>
  <si>
    <t>Verify Admin Can Export File</t>
  </si>
  <si>
    <t>-System downloads the registered accounts in correct format (CSV/XLS), and Admin can verify the exported file.</t>
  </si>
  <si>
    <t>As an Admin I can Delete a file</t>
  </si>
  <si>
    <t>Verify Admin Can Delete Accounts</t>
  </si>
  <si>
    <t>USER MANAGMENT MODULE: ROLE</t>
  </si>
  <si>
    <t>As an Admin Role and Permission Dashboard loads successfully</t>
  </si>
  <si>
    <t>Verify that the User Role and Permission Dashboard loads succesfuly</t>
  </si>
  <si>
    <t>User is logged in as Admin</t>
  </si>
  <si>
    <t>Dashboard should load and display list of roles with columns (Role, Permissions/Access, Description, Date Created, Number of Users, Action)</t>
  </si>
  <si>
    <t>Verify that the list of roles is displayed.</t>
  </si>
  <si>
    <t>All roles should be listed correctly</t>
  </si>
  <si>
    <t>As an Admin I'm able to create a Role</t>
  </si>
  <si>
    <t>Verify that the "Create Role" Button is visible</t>
  </si>
  <si>
    <t>User is logged in as Admin.</t>
  </si>
  <si>
    <t>"Create Role" should be visible</t>
  </si>
  <si>
    <t>1. Click the "Create Role" Button</t>
  </si>
  <si>
    <t>Verify the Required Fields</t>
  </si>
  <si>
    <t>Error message should appear (e.g., "Invalid Code. Please enter required data")</t>
  </si>
  <si>
    <t>Verify Invalid Role Handling</t>
  </si>
  <si>
    <t>System should show error "Invalid Code. Please enter required data"</t>
  </si>
  <si>
    <t>Verify Multiple Permission Codes Assignment</t>
  </si>
  <si>
    <t>System should save multiple permissions for the role</t>
  </si>
  <si>
    <t>Verify Cancel Action</t>
  </si>
  <si>
    <t>1. Click "Close"</t>
  </si>
  <si>
    <t>Verify Successful Role Creation</t>
  </si>
  <si>
    <t>Verify duplicate role handling</t>
  </si>
  <si>
    <t>"Delete" Button should be visible</t>
  </si>
  <si>
    <t>Verify that "Delete" Button is working</t>
  </si>
  <si>
    <t>Verify that "View" button works</t>
  </si>
  <si>
    <t>Role details should be displayed</t>
  </si>
  <si>
    <t>Verify that the "View Role" button displays correctly</t>
  </si>
  <si>
    <t>Verify that the modal can be closed</t>
  </si>
  <si>
    <t>Modal should close successfully and return to role list view.</t>
  </si>
  <si>
    <t>Verify role details accuracy</t>
  </si>
  <si>
    <t>Displayed Role Title, Codes, and Description should match the system data for the selected role.</t>
  </si>
  <si>
    <t>Verify that "Submit" button is visible</t>
  </si>
  <si>
    <t>"Submit" button should be visible in the modal.</t>
  </si>
  <si>
    <t>Verify system on clicking "Submit"</t>
  </si>
  <si>
    <t>System should save/confirm role view or redirect as per design specification.</t>
  </si>
  <si>
    <t>As an Admin I'm able to edit a Role</t>
  </si>
  <si>
    <t>Verify that the "Edit" Button is Working</t>
  </si>
  <si>
    <t>Should proceed to the Edit Role Tab</t>
  </si>
  <si>
    <t>Verify that the Admin can update the Role Title</t>
  </si>
  <si>
    <t>Permission/access code updates successfully and reflects in the role list</t>
  </si>
  <si>
    <t>Verify that the Admin can remove an existing Permission/Access Code</t>
  </si>
  <si>
    <t>Selected permission/access code is removed from the role</t>
  </si>
  <si>
    <t>Verify that the Admin can update the Description</t>
  </si>
  <si>
    <t>Description updates correctly</t>
  </si>
  <si>
    <t>Verify that clicking the Close button discards unsaved changes</t>
  </si>
  <si>
    <t>USER MANAGMENT MODULE: SYSTEM AUDIT &amp; LOGS</t>
  </si>
  <si>
    <t>As an Admin I can access System Auditing and and Logging under User Management</t>
  </si>
  <si>
    <t>Verify that the Admin can access System Auditing and Logging under User Management tab</t>
  </si>
  <si>
    <t>- The Admin user should view the entire System Auditing and Logging table without any errors</t>
  </si>
  <si>
    <t>As an Admin I can use the Search Function in System Auditing and Logging</t>
  </si>
  <si>
    <t>Verify that the Admin can search records using the search tab</t>
  </si>
  <si>
    <t>As an Admin I can use the Filter function in System Auditing and Logging</t>
  </si>
  <si>
    <t>Verify that the Admin can filter out records properly using the filter button</t>
  </si>
  <si>
    <t>- The Admin user only sees the information that matches the selected filter options.</t>
  </si>
  <si>
    <t>As an Admin I can view Status in table list in System Auditing and Logging</t>
  </si>
  <si>
    <t>Verify that the pagination works on the System Auditing and Logging table</t>
  </si>
  <si>
    <t>NOT STARTED</t>
  </si>
  <si>
    <t>Verify Admin can View Status (Active/Inactive) in the Table List</t>
  </si>
  <si>
    <t>1. Review the system auditing list table.</t>
  </si>
  <si>
    <t>USER MANAGMENT MODULE: SURVEY</t>
  </si>
  <si>
    <t>As an Admin I can access Survey under user Managment</t>
  </si>
  <si>
    <t>As Adamin I am able to view dashboard data in Survey</t>
  </si>
  <si>
    <t>Verify that the survey response or number of survey respondent is visible</t>
  </si>
  <si>
    <t>TRANSACTION MODULE: ADMIN WASTE COLLECTION: DASHBOARD</t>
  </si>
  <si>
    <t>As an Admin I can view the dashboard of the Waste Collection module</t>
  </si>
  <si>
    <t>The Dashboard is displayed properly.</t>
  </si>
  <si>
    <t>Verify admin can manage and monitor Garbage Collection &amp; Disposal requests</t>
  </si>
  <si>
    <t>As an Admin I can manage and monitor Barangay Module</t>
  </si>
  <si>
    <t>As an Admin I can manage and monitor Garbage Truck Violation Issuance requests</t>
  </si>
  <si>
    <t>TRANSACTION MODULE: ADMIN WASTE COLLECTION: GARBAGE COLLECTION AND DISPOSAL</t>
  </si>
  <si>
    <t>As an Admin I can access to Garbage Collection and Disposal sub-module</t>
  </si>
  <si>
    <t>Verify that the Admin has access to Garbage Collection and Disposal sub-module</t>
  </si>
  <si>
    <t>-Admin is able to view Garbage Collection and Disposal Request Table</t>
  </si>
  <si>
    <t>Verify that the pagination works In Garbage Collection and Disposal Request Table</t>
  </si>
  <si>
    <t>Verify that the Admin can Add/Submit GCD Request by supplying all the required fields correctly</t>
  </si>
  <si>
    <t>Verify that the Admin cannot Submit an Invalid GCDR Request</t>
  </si>
  <si>
    <t>Verify that the Admin can only select one (1) Request Type</t>
  </si>
  <si>
    <t>- there should only one (1) Request Type Selected</t>
  </si>
  <si>
    <t>Verify that the Admin can upload file/s for the Supporting Document/s</t>
  </si>
  <si>
    <t>- the file/s should upload successfuly</t>
  </si>
  <si>
    <t>Verify that the Admin can Cancel/Close the GCDR Request</t>
  </si>
  <si>
    <t>As an Admin I can search Garbage Collection and Disposal Request in Search bar</t>
  </si>
  <si>
    <t>Verify admin can search Garbage Collection and Disposal Request in Search bar</t>
  </si>
  <si>
    <t>As an Admin Can Apply Filter in Garbage Collection and Disposal Request</t>
  </si>
  <si>
    <t>Verify Admin can apply Filter in Garbage Collection and Disposal Request</t>
  </si>
  <si>
    <t>As an Admin I can use Import File function in Garbage Collection and Disposal Request</t>
  </si>
  <si>
    <t>Verify Admin can use Import File function in Garbage Collection and Disposal Request</t>
  </si>
  <si>
    <t>As an Admin I can use delete function in Garbage Collection and Disposal Request</t>
  </si>
  <si>
    <t>Verify Admin can use delete function in Garbage Collection and Disposal Request</t>
  </si>
  <si>
    <t>As an Admin I can view Mission Orders and Inspection Reports table</t>
  </si>
  <si>
    <t>Verify that the Admin has access to the Mission Orders and Inspection Reports table</t>
  </si>
  <si>
    <t>1. Navigate to Mission Orders and
 Inspection Reports section</t>
  </si>
  <si>
    <t>Verify pagination in Mission Orders and Inspection Reports</t>
  </si>
  <si>
    <t>As an Admin I can Search mission orders</t>
  </si>
  <si>
    <t>Verify that the Admin can Search mission orders</t>
  </si>
  <si>
    <t>Verify that the Admin can Filter function in Mission orders and Inspection Reports</t>
  </si>
  <si>
    <t>- Only filtered mission orders should be displayed</t>
  </si>
  <si>
    <t>As an Admin I can Add a Mission orders and Inspection Reports</t>
  </si>
  <si>
    <t>Verify that the Admin cannot submit incomplete Mission orders and Inspection Reports</t>
  </si>
  <si>
    <t>Verify that Admin cannot add with missing required fields</t>
  </si>
  <si>
    <t>- Logged in as Admin</t>
  </si>
  <si>
    <t>Verify that Admin can upload supporting documents</t>
  </si>
  <si>
    <t>Verify that Admin can cancel Add</t>
  </si>
  <si>
    <t>- Add Mission Order form closes without saving</t>
  </si>
  <si>
    <t>Verify that the Admin can Delete a Mission orders and Inspection Reports</t>
  </si>
  <si>
    <t>As an Admin I can use Import File function in e Mission orders and Inspection Reports</t>
  </si>
  <si>
    <t>Verify that the Admin I can use Import File function in e Mission orders and Inspection Reports</t>
  </si>
  <si>
    <t>As an Admin I can view the table Datu basurero pang araw-araw na report sa koleksyon with records displayed</t>
  </si>
  <si>
    <t>Verify Admin can view the table Datu basurero pang araw-araw na report sa koleksyon with records displayed</t>
  </si>
  <si>
    <t>Table updates to show correct page of records</t>
  </si>
  <si>
    <t>As an Admin I se the search bar to find records in "Datu basurero pang araw-araw na report sa koleksyon" table</t>
  </si>
  <si>
    <t>Verify Admin can use the search bar to find records in "Datu basurero pang araw-araw na report sa koleksyon" table</t>
  </si>
  <si>
    <t>As an Admin I can add new Waste Collection Daily Report in Datu basurero pang araw-araw na report sa koleksyon table</t>
  </si>
  <si>
    <t>Verify Admin can add new Waste Collection Daily Report in Datu basurero pang araw-araw na report sa koleksyon table</t>
  </si>
  <si>
    <t>As an Admin I can delete records in datu basurero pang araw-araw na report sa koleksyon table</t>
  </si>
  <si>
    <t>Verify Admin can delete records in datu basurero pang araw-araw na report sa koleksyon table</t>
  </si>
  <si>
    <t>As an Admin I can Import file to datu basurero pang araw-araw na report sa koleksyon table</t>
  </si>
  <si>
    <t>Verify Admin can Import file to datu basurero pang araw-araw na report sa koleksyon table</t>
  </si>
  <si>
    <t>-Waste Collection Schedule Table List is
 displayed correctly.</t>
  </si>
  <si>
    <t>Verify admin can add Waste Collection Schedule</t>
  </si>
  <si>
    <t>Verify that the ADMIN to use the search button to find information</t>
  </si>
  <si>
    <t>-Table is filtered according to the selected filter
 criteria.</t>
  </si>
  <si>
    <t>-Selected schedule is deleted and removed from
 the list.</t>
  </si>
  <si>
    <t>As an Admin can Import file to din Waste Collection Schedule table</t>
  </si>
  <si>
    <t>Verify Admin can Import file to din Waste Collection Schedule table</t>
  </si>
  <si>
    <t>As an Admin I can view the list of Garbage Truck Violation table</t>
  </si>
  <si>
    <t>Verify that the admin can view the list of Garbage Truck Violation table</t>
  </si>
  <si>
    <t>-User is already logged in as an Admin</t>
  </si>
  <si>
    <t>- The system displays a list of garbage truck violations in the system</t>
  </si>
  <si>
    <t>As an Admin I can use the search function in seach bar in Garbage Truck Violation table</t>
  </si>
  <si>
    <t>Verify that the admin can input valid data in the search bar</t>
  </si>
  <si>
    <t>- The admin can type insde the search bar</t>
  </si>
  <si>
    <t>Verify that the system displays accurate data according to the admin's search input in the search bar</t>
  </si>
  <si>
    <t>As an Admin I can use the filter function in Garbage Truck Violation table</t>
  </si>
  <si>
    <t>Verify that the admin can input valid data in the fields inside the filter feature</t>
  </si>
  <si>
    <t>- The admin can successfully type valid data in the fields inside Violation Filter</t>
  </si>
  <si>
    <t>Verify that the system displays accurate data according the filter option provided by the admin</t>
  </si>
  <si>
    <t>- The system displays accurate data based on the filter options provided by the admin</t>
  </si>
  <si>
    <t>As an Admin I can add a violation in Garbage Truck Violation</t>
  </si>
  <si>
    <t>Verify that the admin can click the Manual Violation Entry button</t>
  </si>
  <si>
    <t>1. Click the Manual Violation Entry button</t>
  </si>
  <si>
    <t>-The system should display a form for manual violation report where the admin can input valid data</t>
  </si>
  <si>
    <t>Verify that the system displays error/warning messages for required fields that are left blank by the admin</t>
  </si>
  <si>
    <t>- The system should generate error/warning messages in the required fields that are left blank</t>
  </si>
  <si>
    <t>Verify that the admin can input valid file document in the supporting document field</t>
  </si>
  <si>
    <t>Verify that the created violation report will be displayed in the list of Garbage Truck Violations</t>
  </si>
  <si>
    <t>-The created violation should be displayed in the list</t>
  </si>
  <si>
    <t>TRANSACTION MODULE: ADMIN WASTE COLLECTION: BARANGAY</t>
  </si>
  <si>
    <t>BULKY WASTE</t>
  </si>
  <si>
    <t>As an Admin I can navigate to the Barangay Module under Transactions on the sidebar.</t>
  </si>
  <si>
    <t>The system successfully navigates to Barangay Module.</t>
  </si>
  <si>
    <t>- The admin is able to successfully select a barangay from the field for monitoring and managing waste collection requests.</t>
  </si>
  <si>
    <t>FIRE WASTE</t>
  </si>
  <si>
    <t>As an Admin I can input valid data in the search bar</t>
  </si>
  <si>
    <t>-The admin can type insde the search bar</t>
  </si>
  <si>
    <t>As an Admin I can input valid data in the filter fields</t>
  </si>
  <si>
    <t>As an Admin I can import valid data files into the Fire Waste Request Table</t>
  </si>
  <si>
    <t>As an Admin I can add a Request Form in Fire Waste Table</t>
  </si>
  <si>
    <t>The request is submitted successfully and added to the system list.</t>
  </si>
  <si>
    <t>As an Admin I can delete an existing waste request record</t>
  </si>
  <si>
    <t>CONSTRUCTION DEBRIS</t>
  </si>
  <si>
    <t>-Admin successfully logs in and accesses the Barangay Module.</t>
  </si>
  <si>
    <t>Construction Debris request table is displayed with correct and accurate data</t>
  </si>
  <si>
    <t>As an Admin I can input valid data in the search bar to filter records</t>
  </si>
  <si>
    <t>- The admin can type inside the search bar</t>
  </si>
  <si>
    <t>As an Admin I can search records using the search bar and view accurate results</t>
  </si>
  <si>
    <t>As an Admin I can filter records using the filter feature and view accurate results</t>
  </si>
  <si>
    <t>As an Admin I can import valid data files into the Construction Debris Request Table</t>
  </si>
  <si>
    <t>As an Admin I can add a request form in Construction Debris Table</t>
  </si>
  <si>
    <t>- The system successfully saves and displays the new Barangay Waste Collection Request in the list.</t>
  </si>
  <si>
    <t>- The request is submitted successfully and added to the system list.</t>
  </si>
  <si>
    <t>As an Admin I can select and delete an existing Construction Debris waste request record</t>
  </si>
  <si>
    <t>- The selected Construction Debris waste request record is deleted from the table</t>
  </si>
  <si>
    <t>TREE CUTTING</t>
  </si>
  <si>
    <t>- The selected Tree Cutting waste request record is deleted from the table</t>
  </si>
  <si>
    <t>HAZARDOUS WASTE</t>
  </si>
  <si>
    <t>- The table updates to display only the records that match the filter criteria</t>
  </si>
  <si>
    <t>-Document is imported successfully and appears in the list.</t>
  </si>
  <si>
    <t>-Add form is displayed properly with all fields and
 options.</t>
  </si>
  <si>
    <t>-The selected Hazardous Request is deleted and
 no longer appears in the table list.</t>
  </si>
  <si>
    <t>HOUSEHOLD WASTE</t>
  </si>
  <si>
    <t>-The selected Household Waste Request is deleted and
 no longer appears in the table list.</t>
  </si>
  <si>
    <t xml:space="preserve">TRANSACTION MODULE: ENVIRONMENTAL CLERANCE </t>
  </si>
  <si>
    <t>Verify Admin can view the dashboard under environmental clerance sub module</t>
  </si>
  <si>
    <t xml:space="preserve">- Admin user is logged in into the system 
- Admin has access to the environmental Clerance Submodule </t>
  </si>
  <si>
    <t>1. Log in as an Applicant User.
2. Navigate to transaction module
3. Click Environmental Clerance submodule 
4. Observe the dashboard display</t>
  </si>
  <si>
    <t xml:space="preserve">The Admin user is able to view relevant data in Environmental Clerance, able to view the following:
1. Application completion rate over time seen by months
2. Certificate requested (number of view, completed and rejected)
3. Clickable button for: Greenhouse Gas (GHG) Certificate Inssuance
4. Clickable button for: Noise Pollution Compliance Certificate 
5. Clickable button for: Request for inspection </t>
  </si>
  <si>
    <t xml:space="preserve">Verify Admin can view the tables in the Greenhouse Gas Certificate Inssuances for Business Estabilshment </t>
  </si>
  <si>
    <t xml:space="preserve">1. Navigate to Transaction 
2. Click down arrow in Environmental Clerance 
3. Click Greenhouse Gas (GHG) Certificate Inssuance </t>
  </si>
  <si>
    <t>The Admin user is able to view tables of the folowing 
1. Application table of Greenhouse Gas (GHG) Certificate Inssuance</t>
  </si>
  <si>
    <t xml:space="preserve">Verify Admin can submit a GHG inventory report for Business Establishment </t>
  </si>
  <si>
    <t>1. Click Greenhouse Gas (GHG) Certificate Inssuance
2. Click Add Button 
3. Fill up Nesessary Details 
4. Click Submit</t>
  </si>
  <si>
    <t xml:space="preserve">Admin user is able to submit a GHG inventory report for Business Establishment </t>
  </si>
  <si>
    <t>Verify that the admin can view and edit the inventory report</t>
  </si>
  <si>
    <t>1.Click on the Business Establishment table.
2.Click kebab symbol in action colum
3.Click the Edit button
4.Change some details.
5.Click the Save button.
6.Check if the changes are updated in the report.</t>
  </si>
  <si>
    <t>1.The admin can view the full inventory report.
2. The admin can edit details in the report.
3. Changes are saved successfully and updated in the report.</t>
  </si>
  <si>
    <t>Verify that the admin can export inventory reports successfully</t>
  </si>
  <si>
    <t>1.Select the Application Reports tab.
2.Click the Export button.
3.Choose the file format (e.g., PDF, Excel).
4.Check if the report is downloaded successfully.</t>
  </si>
  <si>
    <t>1.The application report should be exported in the selected format.
2.The downloaded file should contain accurate and complete report data.</t>
  </si>
  <si>
    <t>Ensure that the filter feature displays the correct data based on the selected criteria.</t>
  </si>
  <si>
    <t>1. Click the filter feature.
2. Pick what you want to filter by (like date or status).
3. Click the apply button and check if the right results show up.</t>
  </si>
  <si>
    <t>1.The Admin user only sees the information that matches the selected filter options.</t>
  </si>
  <si>
    <t>Verify that the admin can search records using the Search tab</t>
  </si>
  <si>
    <t>1.Click on the Search tab from the Business Establishment table.
2.Type a valid ID Number (e.g., #12345) into the search bar.
3.Click the Search button.
4.Check the results displayed below.</t>
  </si>
  <si>
    <t>1.The system should return the matching record for the entered ID Number.
2.If the ID exists, the correct record should appear.
3.If the ID does not exist, a “No results found” message should be shown.
4.The search should work quickly and without any errors.</t>
  </si>
  <si>
    <t>Verify that pagination works correctly on the Business Establishment table</t>
  </si>
  <si>
    <t>1.Go to the Business Establishment table page.
2. Scroll to the bottom of the table and locate the pagination controls (like page number and arrows).
3.Click the arrow (&gt;) to go to the next page of the table.
4.Verify the table updates to show the next set of records.
5.Click the Previous arrow (&lt;) to go back to the previous page.
6.Check if the table data updates accordingly each time.</t>
  </si>
  <si>
    <t>1.The pagination controls should be visible and easy to use.
2. Clicking “Next ()” or “Previous (&lt;)”  should update the table with the correct records.
3.The number of records shown per page should match the selected setting.
4.The table should not display duplicate or missing entries across pages.
5.Pagination should work smoothly without errors or delays.</t>
  </si>
  <si>
    <t>Verify that the admin can access the Tricycle Operator table under the GHG section</t>
  </si>
  <si>
    <t>- Admin user is logged in into the system 
- Admin has access to the environmental Clerance Submodule
-GHG section is enabled and visible
-Tricycle Operator table is configured and accessible</t>
  </si>
  <si>
    <t>1.Log in to the system using valid admin credentials.
2.Navigate to the Environmental Clearance submodule from the main menu/dashboard.
3.Locate and click on the GHG (Greenhouse Gas) submodule.
4.In the GHG section, find the Tricycle Operator table.
5.Click on the Tricycle Operator option to open the table.
6.Verify that the Tricycle Operator table loads successfully and is displayed to the admin.
7.Confirm that there are no errors or access restrictions preventing the admin from viewing the table.</t>
  </si>
  <si>
    <t>1.The admin user is successfully able to view the Tricycle Operator table under the GHG section without any errors.
2.Table structure and data are visible and accessible.</t>
  </si>
  <si>
    <t>Validate that admin is able to add an inventory form in the GHG Tricycle Operator section</t>
  </si>
  <si>
    <t>1.Go to Environmental Clearance &gt; GHG section
2.Open Tricycle Operator table
3.Click “Add”
4.Fill in required fields
5.Click “Submit”
6.Verify that the new entry appears in the table</t>
  </si>
  <si>
    <t>1. Inventory report form is saved and visible in the Tricycle Operator table</t>
  </si>
  <si>
    <t xml:space="preserve">Verify that the admin can view the Inventory Report Form in the GHG Tricycle Operator section
</t>
  </si>
  <si>
    <t>- Admin user is logged in into the system 
- Admin has access to the environmental Clerance Submodule
-GHG section is enabled and visible
-Tricycle Operator table is configured and accessible
-Admin has permission to view inventory reports</t>
  </si>
  <si>
    <t>1.Open the Tricycle Operator table
2.Click on "View" 
3.Confirm that the Inventory Report Form is displayed</t>
  </si>
  <si>
    <t>1.The Inventory Report Form loads successfully
2.All relevant report details are visible to the admin
3.No access errors or missing data</t>
  </si>
  <si>
    <t xml:space="preserve">Verify that the admin can edit the Inventory Report Form in the GHG Tricycle Operator section
</t>
  </si>
  <si>
    <t>-Admin is logged into the system
-Admin has access to the Environmental Clearance submodule and GHG section
-Admin has permission to edit reports</t>
  </si>
  <si>
    <t>1.Open the Tricycle Operator table
2.Click the "Edit" button or icon beside the report
3.Modify one or more fields in the form
4.Click "Submit."
5.Verify that the changes are saved and reflected in the report</t>
  </si>
  <si>
    <t>1.Admin can open the report in edit mode
2.Changes are successfully saved
3.Updated data is displayed correctly without errors</t>
  </si>
  <si>
    <t>Verify that the admin can change the status of the Inventory Report in the GHG Tricycle Operator section</t>
  </si>
  <si>
    <t>-Admin is logged into the system
-Admin has access to the Environmental Clearance submodule and GHG section
-At least one Inventory Report exists
-Admin has permission to update report status</t>
  </si>
  <si>
    <t>1.Open the Tricycle Operator table
2.Locate and select an existing Inventory Report
3.Click edit 
4.Select a new status from the dropdown (e.g., Complete, Incomplete, Under Review)
5.Click "Submit"</t>
  </si>
  <si>
    <t>1.Admin is able to successfully change the report status
2.The new status is saved and reflected in the Inventory Report
3.A success message or confirmation is displayed</t>
  </si>
  <si>
    <t>Ensure that the filter feature displays the correct data based on the selected criteria in the GHG Tricycle Operator section</t>
  </si>
  <si>
    <t>Verify that the admin can confirm the issuance of a certificate through the issuance form.</t>
  </si>
  <si>
    <t>-Admin is logged into the system
-Admin has access to the Environmental Clearance submodule and GHG section
-An inventory report or record is available for certificate issuance
-Admin has permission to confirm issuance</t>
  </si>
  <si>
    <t>1.Open the Tricycle Operator table
2.Select a record that is eligible for issuance
3.Click the "Confirm Issuance" button
4.The Issuance Form appears
5.Fill in the required fields
6.Click "Submit"
7.Verify that the issuance is confirmed and a success message appears</t>
  </si>
  <si>
    <t>1.Issuance Form is displayed after clicking Confirm Issuance
2.Form is submitted successfully without errors
3.Certificate status is updated, and confirmation message is shown</t>
  </si>
  <si>
    <t xml:space="preserve">Verify that the admin can delete an inventory report from the Tricycle Operator table
</t>
  </si>
  <si>
    <t>-Admin is logged into the system
-Admin has access to the Environmental Clearance submodule and GHG section
-At least one inventory report exists in the Tricycle Operator table
-Admin has permission to delete records</t>
  </si>
  <si>
    <t>1.Go to Environmental Clearance &gt; GHG section
2.Open the Tricycle Operator table
3.Locate an existing inventory report
4.Click on the "Delete" button 
5.Confirm the deletion in the popup/dialog 
6.Verify that the report is removed from the table</t>
  </si>
  <si>
    <t>1.The selected inventory report is successfully deleted
2.A confirmation message appears
3.The deleted entry no longer appears in the table</t>
  </si>
  <si>
    <t>Verify Admin can view the NPCC in the dashboard under environmental clerance sub module</t>
  </si>
  <si>
    <t xml:space="preserve">1. Log in as an Admin user 
2. Navigate to transaction module
3. Click Environmental Clerance submodule 
4. Observe the dashboard display
5. Click on Noise Pollution Compliance Certificate </t>
  </si>
  <si>
    <t>The Admin user can view the Noise Pollution Compliance Certificate on the dashboard</t>
  </si>
  <si>
    <t xml:space="preserve">Verify that the admin can view the Noise Pollution Compliance Certificate table with all current reports and available features
</t>
  </si>
  <si>
    <t>1. Navigate to Environmental Clearance to Noise Pollution Compliance Certificate section
2. Observe the display of the table
3. Confirm that current reports are listed</t>
  </si>
  <si>
    <t>1. Admin can see the full Noise Pollution Compliance Certificate table
2. All existing reports are listed correctly
3. Admin can access related features like search, filter, pagination, and actions for each report
4. No access or permission errors appear</t>
  </si>
  <si>
    <t>Verify that the admin can search records using the search bar</t>
  </si>
  <si>
    <t>- Admin user is logged in into the system 
- Admin has access to the environmental Clerance Submodule 
-Admin can access to the Noise Pollution Compliance Certificate table</t>
  </si>
  <si>
    <t>1. Navigate to the Noise Compliance Certificate table
2. Click the Search bar 
3. Enter a keyword (e.g., Index Number (#) or Mission Order) 
4. Click the search icon or press Enter</t>
  </si>
  <si>
    <t>1. Matching records are displayed based on the search input.</t>
  </si>
  <si>
    <t>Verify that the admin can filter records</t>
  </si>
  <si>
    <t>1. Click on the filter icon
2.  Select one or more filter options (e.g., status, date)
3. Apply the filter</t>
  </si>
  <si>
    <t>1. Table updates to display only the filtered results</t>
  </si>
  <si>
    <t>Verify that the admin can add an inspection request</t>
  </si>
  <si>
    <t>- Admin user is logged in into the system 
- Admin has access to the environmental Clerance Submodule 
-Admin can access to the Noise Pollution Compliance Certificate table
-Admin has permission to add inspection requests</t>
  </si>
  <si>
    <t>1. Click the “Add” button
2. Fill in all required fields
3. Click "Submit"</t>
  </si>
  <si>
    <t>1. New request is added and shown in the table with a confirmation message</t>
  </si>
  <si>
    <t>Verify that the admin can export table data</t>
  </si>
  <si>
    <t>1. Click on the “Export” button
2. Select export format (e.g., Excel or PDF)</t>
  </si>
  <si>
    <t>1. File is downloaded with current data from the table</t>
  </si>
  <si>
    <t>Verify that the admin can delete a request</t>
  </si>
  <si>
    <t>1. Click the “Delete” icon
2. Select request
3. Confirm deletion in the pop-up</t>
  </si>
  <si>
    <t>1. Request is removed from the table and a confirmation is shown</t>
  </si>
  <si>
    <t>Verify that the admin can view an applicant’s request form</t>
  </si>
  <si>
    <t>1. Click the “View” of icon button beside a request</t>
  </si>
  <si>
    <t>1. Admin can see the full details of the request form.</t>
  </si>
  <si>
    <t>Verify that the admin can edit a request</t>
  </si>
  <si>
    <t>1. Click the “Edit” icon in the request form
2. Modify fields
3. Click “Submit”</t>
  </si>
  <si>
    <t>1. Changes are saved
2. It should be reflected in the table</t>
  </si>
  <si>
    <t>Verify that the pagination works for the Noise Compliance Certificate table</t>
  </si>
  <si>
    <t>1.Go to the NPCC page.
2. Scroll to the bottom of the table and locate the pagination controls (like page number and arrows).
3.Click the arrow (&gt;) to go to the next page of the table.
4.Verify the table updates to show the next set of records.
5.Click the Previous arrow (&lt;) to go back to the previous page.
6.Check if the table data updates accordingly each time.</t>
  </si>
  <si>
    <t>Verify that the admin can update the status of a request</t>
  </si>
  <si>
    <t>1.Open the NPCC
2.Locate and select an existing Report
3.Click edit 
4.Select a new status from the dropdown (e.g., Complete, Incomplete, Under Review)
5.Click "Submit"</t>
  </si>
  <si>
    <t>Verify that the admin can view mission orders and inspection reports</t>
  </si>
  <si>
    <t>- Admin user is logged in into the system 
- Admin has access to the environmental Clerance Submodule 
-Admin can access to the Noise PollutionCompliance Certificate table</t>
  </si>
  <si>
    <t>1. Navigate to Environmental Clearance &gt; NPCC &gt; Mission Orders &amp; Inspection Reports</t>
  </si>
  <si>
    <t xml:space="preserve">1. Full details of the mission order or inspection report are displayed in a read-only format.
</t>
  </si>
  <si>
    <t>Verify that the admin can add a new mission order or inspection report</t>
  </si>
  <si>
    <t>1. Go to NPCC Mission Orders &amp; Inspection Reports section
2. Click on the “Add” button
3. Fill out the required fields
4. Click “Submit”</t>
  </si>
  <si>
    <t>1. A new mission order or report is successfully created 
2. Report is displayed in the list</t>
  </si>
  <si>
    <t>Verify that the admin can edit an existing mission order or inspection report</t>
  </si>
  <si>
    <t>1. Locate the record in the Mission Orders &amp; Reports table
2. Click the “Edit” icon/button
3. Modify any field as required
4. Click “Submit"</t>
  </si>
  <si>
    <t>1. The edited record is updated and changes are reflected in the table</t>
  </si>
  <si>
    <t xml:space="preserve">Verify that the admin can delete a mission order or inspection report
</t>
  </si>
  <si>
    <t>1. Navigate to the report list
2. Click the “Delete” icon
3. Confirm deletion in the confirmation dialog</t>
  </si>
  <si>
    <t xml:space="preserve">- The selected record is removed from the list
- A success message is shown
</t>
  </si>
  <si>
    <t>Verify that the admin can search mission orders or inspection reports</t>
  </si>
  <si>
    <t>1.Click on the Search tab.
2.Type a valid ID Number (e.g., #12345) into the search bar.
3.Click the Search button.
4.Check the results displayed below.</t>
  </si>
  <si>
    <t>Verify that the admin can filter records by inspection or pollution type</t>
  </si>
  <si>
    <t>1.Click the “Filter” icon
2.Select a filter category from the dropdown
3.Apply the filter</t>
  </si>
  <si>
    <t>- Only records that match the selected filter are displayed</t>
  </si>
  <si>
    <t xml:space="preserve">Verify that pagination works in the Mission Orders &amp; Reports table
</t>
  </si>
  <si>
    <t>1.Go to the NPCC page. 
2. Scroll to the bottom of the table and locate the pagination controls (like page number and arrows).
3.Click the arrow (&gt;) to go to the next page of the table.
4.Verify the table updates to show the next set of records.
5.Click the Previous arrow (&lt;) to go back to the previous page.
6.Check if the table data updates accordingly each time.</t>
  </si>
  <si>
    <t xml:space="preserve">Verify that the admin can change the status of a report or mission order
</t>
  </si>
  <si>
    <t>1.Open the NPCC
2.Locate and select an existing Report
3.Click edit 
4.Select a new status from the dropdown (e.g., For Evaluation , Completet, Non Complaint)
5.Click "Submit"</t>
  </si>
  <si>
    <t>Verify that the admin can access the Request for Inspection page under Environmental Clearance</t>
  </si>
  <si>
    <t>-Admin is logged into the system
-Admin has access to the Environmental Clearance submodule</t>
  </si>
  <si>
    <t>1. From the dashboard of Environmental Clearance
2. Click on Request for Inspection Submodule</t>
  </si>
  <si>
    <t>-Admin is successfully directed to the Request for Inspection page
-Page loads without errors and displays table of existing requests</t>
  </si>
  <si>
    <t>Verify that the admin can view the list of inspection requests</t>
  </si>
  <si>
    <t>1. Observe the content of the list/table
2. Confirm columns are visible (Index Number, Mission Order, Name, Contact Number, Application Type, Service Type, Data Files, Date of Violation )</t>
  </si>
  <si>
    <t>-All columns and existing request entries are displayed correctly</t>
  </si>
  <si>
    <t>Verify that the admin can add a new request or complaint</t>
  </si>
  <si>
    <t>1.Click "Add" 
2. Select if Request or Complaint
3.Fill in all required fields
4.Click Submit</t>
  </si>
  <si>
    <t>- New request is added to the list</t>
  </si>
  <si>
    <t>Verify that the admin can upload a document when submitting a request/complaint form</t>
  </si>
  <si>
    <t>1. Click "Add" and select Request/Complaint
2. Fill out form and click Upload
3. Select a valid file (e.g., PDF, DOCX, JPG)
4. Submit the form</t>
  </si>
  <si>
    <t>-File is uploaded successfully
-No error upon uploading file</t>
  </si>
  <si>
    <t>1. Click the Delete icon
2. Select Request/ Complaint 
3. Confirm deletion</t>
  </si>
  <si>
    <t>-Request/Complaint is removed from the table</t>
  </si>
  <si>
    <t xml:space="preserve">Verify that the admin can search for specific requests using the search bar
</t>
  </si>
  <si>
    <t>1.Enter a keyword (e.g., name, ID) in the search bar
2.Press Enter or click the search icon</t>
  </si>
  <si>
    <t>-Matching records are displayed based on the search input.</t>
  </si>
  <si>
    <t>Verify that the admin can filter the list of inspection request</t>
  </si>
  <si>
    <t>1.Click on Filter button
2.Choose desired filter options
3.Click Apply</t>
  </si>
  <si>
    <t>-List updates to reflect selected filter criteria
-Active filters are displayed clearly</t>
  </si>
  <si>
    <t>Verify that the admin can change the status of a request/complaint</t>
  </si>
  <si>
    <t xml:space="preserve">1.Locate a request in the list
2.Click edit
3.Click the Status and dropdown below the form
4.Choose a new status (e.g., Under Review, Complete, Rejected)
5.Click Submit
</t>
  </si>
  <si>
    <t>-Status is updated successfully
-New status is displayed in the status column</t>
  </si>
  <si>
    <t xml:space="preserve">Verify that pagination is functioning correctly on the request list
</t>
  </si>
  <si>
    <t>1.Go to the Request for Inspection page. 
2. Scroll to the bottom of the table and locate the pagination controls (like page number and arrows).
3.Click the arrow (&gt;) to go to the next page of the table.
4.Verify the table updates to show the next set of records.
5.Click the Previous arrow (&lt;) to go back to the previous page.
6.Check if the table data updates accordingly each time.</t>
  </si>
  <si>
    <t xml:space="preserve">Verify that the admin can view mission orders and inspection reports in Resquest for Inspection Submodule </t>
  </si>
  <si>
    <t>- Admin user is logged in into the system 
- Admin has access to the environmental Clerance Submodule 
-Admin can access to the Request for Inspection table</t>
  </si>
  <si>
    <t>1. Navigate to Environmental Clearance &gt; Request for Inspection &gt; Mission Orders &amp; Inspection Reports</t>
  </si>
  <si>
    <t xml:space="preserve">- Admin user is logged in into the system 
- Admin has access to the environmental Clerance Submodule 
</t>
  </si>
  <si>
    <t>1. Go to Request for Inspection Mission Orders &amp; Inspection Reports section
2. Click on the “Add” button
3. Fill out the required fields
4. Click “Submit”</t>
  </si>
  <si>
    <t>1.Open the Request for Inspection
2.Locate and select an existing Report
3.Click edit 
4.Select a new status from the dropdown (e.g., For Evaluation , Completet, Non Complaint)
5.Click "Submit"</t>
  </si>
  <si>
    <t>1.Admin is able to successfully change the report status
2.The new status is saved and reflected 
3.A success message or confirmation is displayed</t>
  </si>
  <si>
    <t>ENVIRONMENTAL ORDINANCE VIOLATION</t>
  </si>
  <si>
    <t>Verify that admin can access the 
Environmental Ordinance Violation</t>
  </si>
  <si>
    <t>-Admin is logged into the 
system
-Admin has access to the 
Environmental Ordinance 
Violation module</t>
  </si>
  <si>
    <t xml:space="preserve">1. Log in as an Admin user
2. Navigate to the "Enviromental Ordinance Violation"
    module
</t>
  </si>
  <si>
    <t>-Admin is successfully directed 
to Enviromental Ordinance
Violation page
-Page loads without errors and 
displays Dashboard and table</t>
  </si>
  <si>
    <t>Verify that admin can add Manual
Violation Entry</t>
  </si>
  <si>
    <t>1. Log in as an Admin user
2. Navigate to the Enviromental Ordinance Violation
    module
3.Click the Manual Violation Entry button</t>
  </si>
  <si>
    <t>-Admin can view a Manual 
Violation Entry form
-Admin can add the details</t>
  </si>
  <si>
    <t>Verify that admin can use the delete
violator</t>
  </si>
  <si>
    <t>1. Click the Delete icon
2. Select Violator checkbox
3. Confirm deletion</t>
  </si>
  <si>
    <t>-Violator name and other details 
is removed from the table
-A confirmation message appears
-The deleted violator no longer 
appears in the table</t>
  </si>
  <si>
    <t>Verify that the admin can search for 
specific violators using the search bar</t>
  </si>
  <si>
    <t>1.Enter a keyword (e.g., name, ID) in the 
search bar
2.Press Enter or click the search icon</t>
  </si>
  <si>
    <t>-Matching records are displayed 
based on the search input.</t>
  </si>
  <si>
    <t>Ensure that the filter feature displays 
the correct data based on the selected
 criteria</t>
  </si>
  <si>
    <t xml:space="preserve">Verify that the admin can edit the 
violation report form.
</t>
  </si>
  <si>
    <t>1.Open the Manual Violation Entry
2.Click the "Edit" button or icon beside 
the violation
3.Modify one or more fields in the form
4.Click "Submit."
5.Verify that the changes are saved 
and reflected in the report</t>
  </si>
  <si>
    <t>-Admin can open the report in 
edit mode
-Changes are successfully saved
-Updated data is displayed 
correctly without errors</t>
  </si>
  <si>
    <t>Verify that the pagination buttons
("&gt;", "&gt;&gt;") are clickable and navigate 
through the mission order records 
correctly</t>
  </si>
  <si>
    <t>1. Go to the Mission Orders and Inspection 
Reports – Violation screen
2. Click the “&gt;” or “&lt;” button and verify the next
or previous page of mission orders is displayed
3. Click the “&gt;&gt;” or “&lt;&lt;” button and verify the
last or first page of mission orders is displayed
4. Check the accuracy of displayed data on
each page</t>
  </si>
  <si>
    <t>- All pagination buttons are
clickable
- “&gt;” and “&lt;” navigate to the
next/previous page
- “&gt;&gt;” and “&lt;&lt;” navigate to the
last/first page
- Each page displays accurate &amp;
expected mission order data</t>
  </si>
  <si>
    <t>Verify that admin can view the mission 
orders and inspection reports list</t>
  </si>
  <si>
    <t>- Admin user is logged in
- Admin has access to the 
Environmental Ordinance 
Violation module
- Admin has access to the 
Mission Orders module</t>
  </si>
  <si>
    <t>1. Log in as Admin
2. Go to “Mission Orders and Inspection 
Reports – Violation” section</t>
  </si>
  <si>
    <t>- Admin should see a table 
displaying mission order entries 
with fields like Date Issued, 
MO ID, Process Type, etc.</t>
  </si>
  <si>
    <t>Verify that the search functionality 
works correctly</t>
  </si>
  <si>
    <t>1. Type a valid MO ID (e.g., MOV-2025-001) 
in the search bar
2. Click search icon</t>
  </si>
  <si>
    <t>- The list should filter and show 
only the matching mission order</t>
  </si>
  <si>
    <t>Verify that the filter button filters the 
data correctly</t>
  </si>
  <si>
    <t>1. Click the Filter button
2. Select a Process Type 
(e.g., Ordinance, Customer, Status)
3. Click Apply</t>
  </si>
  <si>
    <t>- Only mission orders with
selected Process Type are 
shown</t>
  </si>
  <si>
    <t>Verify that the admin can successfully
add a new mission order</t>
  </si>
  <si>
    <t>1. Click the Add button
2. Fill out all necessary fields 
(e.g., MO ID, Date, Process Type, Officer)
3. Click Submit</t>
  </si>
  <si>
    <t>- A new entry appears in the table
with correct data</t>
  </si>
  <si>
    <t>Verify that validation works when
adding a mission order</t>
  </si>
  <si>
    <t>1. Click Add
2. Leave some required fields empty
3. Click Submit</t>
  </si>
  <si>
    <t>- The system should display an
error or validation message
highlighting the missing fields</t>
  </si>
  <si>
    <t>Verify that the Edit button opens the
correct form and allows updating 
mission order information</t>
  </si>
  <si>
    <t>1. Go to the Mission Orders and Inspection 
Reports – Violation screen
2. Click the Edit icon
3. Update one or more fields in the form 
(e.g., Officer, Contact #, Process Type)
4. Click Submit</t>
  </si>
  <si>
    <t>- Edit button is clickable
- The form opens pre-filled with the 
selected record's data
- After saving, changes are reflected 
correctly in the mission order list</t>
  </si>
  <si>
    <t>Verify that the admin can delete a
selected mission order</t>
  </si>
  <si>
    <t>- Admin user is logged in
- Admin has access to the 
Environmental Ordinance 
Violation module
- Admin has access to the 
Mission Orders module</t>
  </si>
  <si>
    <t>1. Select a mission order checkbox
2. Click the red Delete button
3. Confirm the deletion when prompted</t>
  </si>
  <si>
    <t>-The selected mission order
should be removed from the list
-A confirmation message appears
-No longer displayed</t>
  </si>
  <si>
    <t>Verify that the Admin can access the
"Add Order of Payment" Button</t>
  </si>
  <si>
    <t>- Admin is logged into the
 system
- Admin is on the EOV 
 module page
- Admin is on the "Add Order
 of Payment" tab</t>
  </si>
  <si>
    <t>1. Click the "EOV" module
2. Navigate to the Order of Payment Section
3. Click the "+ Add" Button in the Upper Right
 Corner</t>
  </si>
  <si>
    <t>- The "Add Order of Payment" tab
 should open</t>
  </si>
  <si>
    <t>Verify that the Admin can Submit a
Complete Order of Payment</t>
  </si>
  <si>
    <t>1. Fill in all required fields correctly
2. Click "Submit"</t>
  </si>
  <si>
    <t>- A success message is 
 displayed
- Order is added to the List</t>
  </si>
  <si>
    <t>Verify if the Admin can Submit "Order
of Payment" after Leaving the required
fields blank</t>
  </si>
  <si>
    <t>- Admin is logged into the
 system
- Admin is on the EOV 
 module page
-  Admin is on the "Add Order
 of Payment" tab</t>
  </si>
  <si>
    <t>1. Leave required fields blank
2. Click "Submit"</t>
  </si>
  <si>
    <t>- Validation messages should
 appear for each required field</t>
  </si>
  <si>
    <t>Verify that only valid contact numbers
are accepted</t>
  </si>
  <si>
    <t>1. Enter invalid contact number
2. Click "Submit"</t>
  </si>
  <si>
    <t>- An error message should 
 appear next to the contact 
 number field</t>
  </si>
  <si>
    <t>Verify file upload functionality</t>
  </si>
  <si>
    <t>1. Click "Choose File"
2. Upload Valid File
3. Click "Submit"</t>
  </si>
  <si>
    <t>- File is attached and saved with the 
 Record</t>
  </si>
  <si>
    <t>Verify violation selection from all ordinance
sections</t>
  </si>
  <si>
    <t>1. Select Violations under each Ordinace Section
2. Click "Submit"</t>
  </si>
  <si>
    <t>- All Selected Violations are Saved and
 Displayed</t>
  </si>
  <si>
    <t>Verify that admin can select a status from
dropdown</t>
  </si>
  <si>
    <t>1. Scroll to “Status” field
2. Select a value
3. Click "Submit"</t>
  </si>
  <si>
    <t>- The selected status is Saved and 
 Shown in the Table</t>
  </si>
  <si>
    <t>Verify that the Admin can cancel the process 
of adding an Order of Payment</t>
  </si>
  <si>
    <t>1. Click "Cancel"
2. Reopen the "Add Order of Payment" tab</t>
  </si>
  <si>
    <t>- All fields should be blank</t>
  </si>
  <si>
    <t>SUMMARY : MWMS - TAXPAYER</t>
  </si>
  <si>
    <t>User is able to view the Waste collection Schedule table</t>
  </si>
  <si>
    <t>Verify User that the pagination buttons (“&gt;”, “&lt;”, “&gt;&gt;”, “&lt;&lt;”) are clickable and navigate through the Waste collection Schedule table</t>
  </si>
  <si>
    <t>APPLICANT LOGIN</t>
  </si>
  <si>
    <t>As an Applicant, I can log in using my username &amp; password</t>
  </si>
  <si>
    <t>Validate that an applicant can log in with valid credentials.</t>
  </si>
  <si>
    <t>Validate that the username input must accept valid formats
(numbers, letters, uppercase, lowercase)</t>
  </si>
  <si>
    <t xml:space="preserve">1. Go to the Login Page
2. Enter different username formats 
(both valid and invalid).
3. Verify that invalid formats for the login attempt 
are rejected with an error message.
</t>
  </si>
  <si>
    <t>The system displays an error message 
stating incorrect email or password.</t>
  </si>
  <si>
    <t>The system displays an error message: 
"email is required"
"password is required"</t>
  </si>
  <si>
    <t>Verify that the login functionality works correctly across different 
browsers.</t>
  </si>
  <si>
    <t>1. Go the the Login Page using Chrome, Edge, and Opera
2. Enter Credentials
3. Click the "Log In" button.
4. Verify that it can log in across different browsers</t>
  </si>
  <si>
    <t>Verify that the Registration form should be input other information (eg. Name, address, birthday, etc.)</t>
  </si>
  <si>
    <t xml:space="preserve">The system should be success your registration and you may able to login your new account </t>
  </si>
  <si>
    <t>Verify that the applicant should be input correctly and do not leave blank the fill-up form</t>
  </si>
  <si>
    <t xml:space="preserve">1. Open the Login Page
2. Click the "Register here" button
3. Leave the form as blank 
4. Click next </t>
  </si>
  <si>
    <t>The system displays an error message: "Please fill all fields correctly"</t>
  </si>
  <si>
    <t>Verify that the email should be input properly with "@" and ".com"</t>
  </si>
  <si>
    <t>1. Open the Login Page
2. Click the "Register here" button
3. type an email incorrectly
4. Click next</t>
  </si>
  <si>
    <t>The system displays an error message: "Invalid email format"</t>
  </si>
  <si>
    <t>Verify that the password field is able to use masked to see their input password</t>
  </si>
  <si>
    <t xml:space="preserve">1. Open the Login Page
2. Click the "Register here" button
3. type your password 
4. click password masked </t>
  </si>
  <si>
    <t>The password should be visible.</t>
  </si>
  <si>
    <t>As an Applicant, I should be able to see the dashboard</t>
  </si>
  <si>
    <t>Verify that the user is redirected to the dashboard after loggin in</t>
  </si>
  <si>
    <t>User is already at the dashboard</t>
  </si>
  <si>
    <t>Verify if user is redirected to dashboard</t>
  </si>
  <si>
    <t>The system should show the dashboard upon loggin in</t>
  </si>
  <si>
    <t>Validate the dashboard UI matched the approved design</t>
  </si>
  <si>
    <t>Validate the UI</t>
  </si>
  <si>
    <t>Correct UI is displayed</t>
  </si>
  <si>
    <t>Validate that the main announcement on the dashboard display actual 
announcement</t>
  </si>
  <si>
    <t>Validate if the announcement is accurate</t>
  </si>
  <si>
    <t>Announcements should be accurate and display the actual data</t>
  </si>
  <si>
    <t>Validate the announcement data matched the one being posted</t>
  </si>
  <si>
    <t>Validate that the announcements sorting is from newest to oldest</t>
  </si>
  <si>
    <t>Validate that new announcements are on top</t>
  </si>
  <si>
    <t>New announcements should be on top</t>
  </si>
  <si>
    <t>Validate that the user can see the attachments on the announcements</t>
  </si>
  <si>
    <t xml:space="preserve">1. Click the "Show Attachments"
2. Click the "attachment" </t>
  </si>
  <si>
    <t xml:space="preserve">User should see the attachment or image </t>
  </si>
  <si>
    <t>As an Applicant, I should be able to navigate to all my 
dispatched truck using the pagination</t>
  </si>
  <si>
    <t>Verify that the applicant can click the "&gt;" button</t>
  </si>
  <si>
    <t>Applicant is in the Dispatched trucked section below the dashboard</t>
  </si>
  <si>
    <t>1. Click the "&gt;" button</t>
  </si>
  <si>
    <t>The "&gt;" button should be clickable</t>
  </si>
  <si>
    <t>Verify that the applicant can click the "&lt;" button</t>
  </si>
  <si>
    <t>1. Click the "&gt;" button
2. Click the "&lt;" button</t>
  </si>
  <si>
    <t>The "&lt;" button should be clickable</t>
  </si>
  <si>
    <t>Verify that the "&gt;" button will go to the next page of the displayed results</t>
  </si>
  <si>
    <t>1. Click the "&gt;" button
2. Verify if it goes to the next page</t>
  </si>
  <si>
    <t>The next page of results should show</t>
  </si>
  <si>
    <t>Verify that the "&lt;" button will go to the previous page of the displayed results</t>
  </si>
  <si>
    <t>1. Click the "&gt;" button
2. Verify if it goes to the next page
3. Click the "&lt;" button
4. Verify if it goes to previous page</t>
  </si>
  <si>
    <t>The previous page of results should show</t>
  </si>
  <si>
    <t>Verify that the applicant can click the "&gt;&gt;" button</t>
  </si>
  <si>
    <t>1. Click the "&gt;&gt;" button</t>
  </si>
  <si>
    <t>The "&gt;&gt;" button should be clickable</t>
  </si>
  <si>
    <t>Verify that the applicant can click the "&lt;&lt;" button</t>
  </si>
  <si>
    <t>1. Click the "&lt;&lt;" button</t>
  </si>
  <si>
    <t>The "&lt;&lt;" button should be clickable</t>
  </si>
  <si>
    <t>Verify that the "&gt;&gt;" button will go to the last page of the displayed result</t>
  </si>
  <si>
    <t>1. Click the "&gt;&gt;" button
2. Verify if it goes to the last page</t>
  </si>
  <si>
    <t>The last page of results should show</t>
  </si>
  <si>
    <t>Verify that the "&gt;&gt;" button will go to the first page of the displayed result</t>
  </si>
  <si>
    <t>1. Click the "&gt;&gt;" button
2. Verify if it goes to the last page
3. Click the "&lt;&lt;" button
4. Verify if it goes to the first page</t>
  </si>
  <si>
    <t>The first page of results should show</t>
  </si>
  <si>
    <t>Validate if the displayed results in each pagination is accurate</t>
  </si>
  <si>
    <t>Validate if the information displayed is correct</t>
  </si>
  <si>
    <t>The correct information should show based on the data inputted
by the users</t>
  </si>
  <si>
    <t>- The table list displays all garbage &amp; disposal
 requests with relevant columns.</t>
  </si>
  <si>
    <t>- Table updates to show data for the selected
 page.</t>
  </si>
  <si>
    <t>- Message "No Data Found" is displayed.</t>
  </si>
  <si>
    <t>Table is visible and data is accurate</t>
  </si>
  <si>
    <t>Table updates to show only matching records</t>
  </si>
  <si>
    <t>Table updates to show corresponding page records</t>
  </si>
  <si>
    <t>The system should open the Garbage Collection
 &amp; Disposal Request Form page</t>
  </si>
  <si>
    <t>Verify that the Name / Establishment Name
 field accepts valid input.</t>
  </si>
  <si>
    <t>Verify that the Contact Number field accepts
 valid numbers.</t>
  </si>
  <si>
    <t>Verify that the applicant can upload optional
 supporting documents.</t>
  </si>
  <si>
    <t>Verify that the applicant can successfully
 submit the request form.</t>
  </si>
  <si>
    <t>1. Click Submit after completing the form.</t>
  </si>
  <si>
    <t xml:space="preserve">APPLICANT ENVIRONMENTAL CLERANCE </t>
  </si>
  <si>
    <t>Verify Applicant can view Dashboard Under environmental clerance sub module</t>
  </si>
  <si>
    <t>-Applicant is logged in into the system.
-Applicant has access to the Environmental Clearance Submodule</t>
  </si>
  <si>
    <t xml:space="preserve">1. Log in as an Applicant User.
2. Navigate to the transaction module
3. Click Environmental Clearance submodule 
4. Observe the dashboard display
</t>
  </si>
  <si>
    <t xml:space="preserve">
- Applicant has access to Environmental Clearance Submodule.
</t>
  </si>
  <si>
    <t>Verify that the Applicant can access the Environmental Clearance Submodule and GHG Tab.</t>
  </si>
  <si>
    <t>-Applicant is logged in into the system.
-Applicant has access to the Environmental
 Clearance Submodule
-Applicant has access to GHG.</t>
  </si>
  <si>
    <t xml:space="preserve">
- Applicant has access to GHG 
-GHG page displayed
</t>
  </si>
  <si>
    <t>Website design differs from the Figma 
design — sub-modules are missing, and
 the content is displayed directly as a 
table list.</t>
  </si>
  <si>
    <t>Verify that the Applicant can fill-up and submit form to GHG Application Requested Clearance successfully.</t>
  </si>
  <si>
    <t xml:space="preserve">
-Application User is logged in into the system.
-Applicant has access to the Environmental Clearance Submodule
-Applicant has access to GHG.
-Applicant can submit form to GHG to requests for Certificate 
</t>
  </si>
  <si>
    <t xml:space="preserve">1. Click the GHG Tab.
2. Click the "Apply for GHG Certificate" 
3. Fill-up the given form then Click the SUBMIT button.
4. Check if the data filed was correct.
</t>
  </si>
  <si>
    <t xml:space="preserve">
- View GHG Application Requested Clearance Table List and Rate (Request ID. Application Type, Location, Business Name, Location, Total Electricity Consumption, Total Water Consumption, Total Fuel Consumption of Generator and Total Fuel Consumption of Vehicle).
</t>
  </si>
  <si>
    <t>Verify that the Applicant can select GHG 
Application Type (New or Renewal)</t>
  </si>
  <si>
    <t xml:space="preserve">
-Application User is logged in into the system.
-Applicant has access to the Environmental Clearance Submodule
-Applicant has access to GHG.
</t>
  </si>
  <si>
    <t>1. Navigate to the GHG Application form.
2. Check the Application Type.
3. Select "New" or  Select "Renewal".</t>
  </si>
  <si>
    <t>- Applicant is able to successfully select 
either "New" or "Renewal" in the 
Application Type field.</t>
  </si>
  <si>
    <t xml:space="preserve">Verify that the Applicant can upload a file in 
GHG Annual Emission Report
</t>
  </si>
  <si>
    <t xml:space="preserve">1. Navigate to the Annual Emission Report section in 
the GHG application form.
2. Click on the "Choose File" button.
3. Select a valid file from local drive.
</t>
  </si>
  <si>
    <t>-The file is successfully attached and 
visible next to the "Choose File" button.</t>
  </si>
  <si>
    <t xml:space="preserve">Verify that the Submit button in 
the GHG form is working
</t>
  </si>
  <si>
    <t xml:space="preserve">
1. Fill in the GHG application form completely.
2. Click on the "Submit" button.
</t>
  </si>
  <si>
    <t>-The form is successfully submitted 
without any errors.</t>
  </si>
  <si>
    <t xml:space="preserve">Verify that the Cancel button in the 
GHG form is working
</t>
  </si>
  <si>
    <t xml:space="preserve">
1. Start filling the GHG application form.
2. Click on the "Cancel" button.
</t>
  </si>
  <si>
    <t>-The form is cleared or the user is
 redirected back to the GHG table page.</t>
  </si>
  <si>
    <t xml:space="preserve">Verify that if Application Type is 'New',
 Inventory Report form requires filling 
Annual Emission questions.
</t>
  </si>
  <si>
    <t xml:space="preserve">
1. Choose "New" as the Application Type.
2. Fill-up Inventory Report form.
</t>
  </si>
  <si>
    <t>-Annual Emission questions are shown
 as required fields and must be filled
 out before submission.</t>
  </si>
  <si>
    <t xml:space="preserve">Verify that Applicant can attach a file to 
the Request Form
</t>
  </si>
  <si>
    <t xml:space="preserve">
1. Click on "Choose File" in the Request Form section 
-GHG Annual Emissions Report.
2. Select and upload a valid file.
</t>
  </si>
  <si>
    <t xml:space="preserve">
-File is successfully attached and 
displayed.</t>
  </si>
  <si>
    <t xml:space="preserve">Verify that after submitting, the Application is
 visible in GHG Application Table.
</t>
  </si>
  <si>
    <t xml:space="preserve">
1. Go to the GHG Application Table.
2. Find your Application Form
</t>
  </si>
  <si>
    <t>-The submitted application is listed in
 the table.</t>
  </si>
  <si>
    <t xml:space="preserve">Verify that in GHG page list Applicant can 
view the details of there report form.
</t>
  </si>
  <si>
    <t xml:space="preserve">
1. Navigate to the GHG table.
2. Select Application
3. Scroll to the right
4.Click the View icon.
</t>
  </si>
  <si>
    <t>- Displayes the Application form, 
Applicant can see details such as name,
 application type, status, and date 
submitted.</t>
  </si>
  <si>
    <t xml:space="preserve">Verify that the applicant is required to fill out a 
Client Satisfaction Measurement (CSM) form 
before continuing with payment
</t>
  </si>
  <si>
    <t xml:space="preserve">1.Finish filing the report Form.
2.CSM will show.
3.Fill up the CSM. </t>
  </si>
  <si>
    <t xml:space="preserve">
-A CSM form is displayed.
- Cannot skip or bypass the form.
- After submission, a confirmation will 
popped out "Created"
- If the form is not filled, user cannot
 create form.</t>
  </si>
  <si>
    <t>The CSM form is missing on the website,
 though it is present in the Figma design.</t>
  </si>
  <si>
    <t>Verify that a pop-up message shows
 'Record Created Successfully' and
 Continue button appears</t>
  </si>
  <si>
    <t>1. Submit the application.</t>
  </si>
  <si>
    <t>-A confirmation message appears saying
 'Record Created Successfully' with a 
"Continue" button.</t>
  </si>
  <si>
    <t>No record is created on the website, and
 the behavior/design differs from the 
Figma</t>
  </si>
  <si>
    <t>Verify that the Applicant can ensure that the Data filed is correct.</t>
  </si>
  <si>
    <t xml:space="preserve">-Application User is logged in into the system.
-Applicant has access to the Environmental Clearance Submodule
-Applicant has access to GHG.
-Applicant can submit form to GHG to requests for Certificate 
-Applicant can ensure the CORRECT DATA.
</t>
  </si>
  <si>
    <t xml:space="preserve">1. Log in as an Applicant User.
2. Navigate the module.
3. Access the Environmental Clearance Submodel
4. Click the GHG Tab.
5. Click the "Apply for GHG Certificate" 
6. Fill-up the given formn then Click the SUBMIT button.
7. Check if the data filed was correct.
</t>
  </si>
  <si>
    <t xml:space="preserve">
- Applicant can fill-up and submit form successfully.
</t>
  </si>
  <si>
    <t>Verify that the pagination buttons 
(“&gt;”, “&lt;”, “&gt;&gt;”, “&lt;&lt;”) are clickable and 
navigate through the Violation Ticket
Issuance</t>
  </si>
  <si>
    <t xml:space="preserve">
-Application User is logged in into the system.
-Applicant has access to the Environmental Clearance Submodule
-Applicant has access to GHG.
-Applicant can submit form to GHG to requests for Certificate 
-Applicant can ensure the CORRECT DATA.
-Applicant can ensure the pagination is accesible.</t>
  </si>
  <si>
    <t>1. Locate the GHG page 
2. Click the “&gt;” or “&lt;” button to go to the next or 
previous page
3. Click the “&gt;&gt;” or “&lt;&lt;” button to go to the last or
 first page
4. Check if the data displayed on each page is 
accurate</t>
  </si>
  <si>
    <t>- All pagination buttons are clickable
- “&gt;” and “&lt;” navigate to the 
next/previous page
- “&gt;&gt;” and “&lt;&lt;” navigate to the last/first
 page
- Each page displays accurate and 
expected 
Violation Ticket Issuance data</t>
  </si>
  <si>
    <t>Verify that the Applicant can open the 
Inspection Request form</t>
  </si>
  <si>
    <t>- Applicant is logged in
- Applicant is on the "Noise 
Pollution Compliance Certificate" 
page</t>
  </si>
  <si>
    <t>1. Click the "Apply for Noise Pollution Compliance 
Certificate" button</t>
  </si>
  <si>
    <t>- The Inspection Request Form tab 
opens</t>
  </si>
  <si>
    <t>Verify that the Applicant can cancel the 
Inspection Request</t>
  </si>
  <si>
    <t>- Applicant is logged in
- Applicant is on the "Noise 
Pollution Compliance Certificate" 
page
- Applicant is in the "Inspection
Request Form" tab</t>
  </si>
  <si>
    <t>1. Click the "Close" button</t>
  </si>
  <si>
    <t>- The "Inspection Request Form" tab
closes without saving any data</t>
  </si>
  <si>
    <t>Verify validation messages for required 
fields</t>
  </si>
  <si>
    <t>1. Leave required fields empty
2. Click "Submit"</t>
  </si>
  <si>
    <t>- Validation messages are shown for 
each required field</t>
  </si>
  <si>
    <t>Verify email and contact number format 
validation</t>
  </si>
  <si>
    <t>1. Enter Invalid Email and Contact Number
2. Click "Submit"</t>
  </si>
  <si>
    <t>- Appropriate error messages appear 
beside invalid fields</t>
  </si>
  <si>
    <t>Verify pollution type dropdown displays all 
options</t>
  </si>
  <si>
    <t>1. Click the Pollution Type dropdown</t>
  </si>
  <si>
    <t>- Options displayed: Noise Pollution, 
Water Pollution, Air Pollution</t>
  </si>
  <si>
    <t>Verify selection of a pollution type from 
dropdown</t>
  </si>
  <si>
    <t>1. Select One Pollution Type from the Dropdown
(e.g., Noise Pollution)</t>
  </si>
  <si>
    <t>- "Noise Pollution" appears in the field</t>
  </si>
  <si>
    <t>Verify business operating days &amp; hours 
selection</t>
  </si>
  <si>
    <t>1. Select days (e.g., Mon–Fri)
2. Set time range (e.g., 08:00 AM – 05:00 PM)</t>
  </si>
  <si>
    <t>- Selected days are highlighted and 
hours are correctly recorded</t>
  </si>
  <si>
    <t>Verify that the user can submit a valid 
Inspection Request</t>
  </si>
  <si>
    <t>1. Fill out all required fields with valid data
2. Click "Submit"</t>
  </si>
  <si>
    <t>- A success message appears ("Record
Created Successfully!")
- Data is Added to the Anti-Noise
Pollution Table</t>
  </si>
  <si>
    <t>Verify that a new record is added to the table 
after successful submission</t>
  </si>
  <si>
    <t>- Applicant is logged in
- Applicant is on the "Noise 
Pollution Compliance Certificate" 
page
- Applicant is in the "Inspection
Request Form" tab
- At least one (1) valid 
submission exist</t>
  </si>
  <si>
    <t>1. Submit a valid Inspection Request
2. Return to  "Noise Pollution Compliance Certificate 
(NPCC)" tab/list</t>
  </si>
  <si>
    <t>- New entry appears in the table with 
correct details</t>
  </si>
  <si>
    <t>Verify pagination and table view when 
multiple records exist</t>
  </si>
  <si>
    <t>- Applicant is logged in
- Applicant is on the "Noise 
Pollution Compliance Certificate" 
page
- Applicant is in the "Inspection
Request Form" tab
- Ten (10) or more records are 
added</t>
  </si>
  <si>
    <t>1. Scroll to the bottom of the table
2. Use navigation arrows</t>
  </si>
  <si>
    <t>- Pagination works smoothly
- Data updates accordingly</t>
  </si>
  <si>
    <t>Verify that the Applicant can access the 
environmental Clearance Submodule and 
Request for Inspection tab</t>
  </si>
  <si>
    <t>-Applicant is logged in into the 
system.
-Applicant has access to the
 Environmental Clearance
 Submodule
-Applicant has access to 
Request for Inspection tab</t>
  </si>
  <si>
    <t>1. Navigate to Transaction 
2. Click down arrow in Environmental Clerance 
3. Click Request for Inspection</t>
  </si>
  <si>
    <t xml:space="preserve">
The Applicant user is able to view
 relevant data in Environmental 
Clerance able to view the following:
1. Applicant has access to 
EnvironmentalClearance Submodule.
2. Applicant has access to Request 
for Inspection tab</t>
  </si>
  <si>
    <t>Verify that the Applicant can use the 
Request for Inspection button</t>
  </si>
  <si>
    <t>1. Navigate to Transaction 
2. Click down arrow in Environmental Clerance 
3. Click Request for Inspection
4. Click the Request for Inspection button</t>
  </si>
  <si>
    <t>The Applicant is able to view a modal
form containing:
1. Request and Complaint toggle 
buttons
2. Service Type options
3. Business Information section and etc.</t>
  </si>
  <si>
    <t>Verify that the user can cancel the 
Inspection Request</t>
  </si>
  <si>
    <t>-Applicant is logged in into the 
system.
-Applicant has access to the 
EnvironmentalClearance 
Submodule
-Applicant has access to 
Request for Inspection tab
- "Other Services" tab is open
- Request tab is open</t>
  </si>
  <si>
    <t>1. Navigate to Transaction 
2. Click down arrow in Environmental Clerance 
3. Click Request for Inspection
4. Click the Request for Inspection button
5. Click the "Close" button</t>
  </si>
  <si>
    <t>- "Other Services" tab closes
- No data is save or submitted</t>
  </si>
  <si>
    <t>Verify that the user can switch from 
Request to Complaint tab</t>
  </si>
  <si>
    <t xml:space="preserve">1. Navigate to Transaction 
2. Click down arrow in Environmental Clerance 
3. Click Request for Inspection
4. Click the "Complaint" button
</t>
  </si>
  <si>
    <t>- Complaint tab becomes active</t>
  </si>
  <si>
    <t>Verify that the user can switch from 
Complaint to Request tab</t>
  </si>
  <si>
    <t>-Applicant is logged in into the 
system.
-Applicant has access to the 
EnvironmentalClearance 
Submodule
-Applicant has access to 
Request for Inspection tab
- "Other Services" tab is open
- Complaint tab is open</t>
  </si>
  <si>
    <t xml:space="preserve">1. Navigate to Transaction 
2. Click down arrow in Environmental Clerance 
3. Click Request for Inspection
4. Click the "Request for Inspection" button
</t>
  </si>
  <si>
    <t>- Request tab becomes active</t>
  </si>
  <si>
    <t>Verify that switching tabs resets any 
entered form data</t>
  </si>
  <si>
    <t xml:space="preserve">1. Navigate to Transaction 
2. Click down arrow in Environmental Clerance 
3. Click Request for Inspection
4. Click the "Request" button
5. Enter sample data in fields
6. Switch to Complaint tab
7. Switch back to Request
</t>
  </si>
  <si>
    <t xml:space="preserve">- All previously entered data is cleared </t>
  </si>
  <si>
    <t>Verify that the Applicant can upload  
Supporting Documents</t>
  </si>
  <si>
    <t>-Applicant is logged in into the 
system.
-Applicant has access to the 
EnvironmentalClearance 
Submodule
-Applicant has access to 
Requestfor Inspection tab
-Applicant open the Request for
Inspection form</t>
  </si>
  <si>
    <t xml:space="preserve"> Click the “Choose File” button in the Supporting
 Documents section and upload a file.
</t>
  </si>
  <si>
    <t>The system allows the applicant to 
select a file from their device, and the
selected file name is displayed next to
 the "Choose File" button, indicating
 successful attachment.</t>
  </si>
  <si>
    <t>Verifty that after submitting the request
a Help Us Serve You Better form appear</t>
  </si>
  <si>
    <t>-Applicant is logged in into the 
system.
-Applicant has access to the 
EnvironmentalClearance 
Submodule
-Applicant has access to 
Requestfor Inspection tab
-Applicant open the Request for
Inspection form
-Applicant Submit the request</t>
  </si>
  <si>
    <t xml:space="preserve">1. Click the "Submit" button on the Request for Inspection
form.
2. Fill out all required fields in the "Help Us Serve You Better"
form.
</t>
  </si>
  <si>
    <t>The applicant is able to enter valid 
information into each required field
without errors. All input fields accept data
 as expected (e.g., text fields, rating 
scales, dropdowns, etc.).</t>
  </si>
  <si>
    <t>Verify that after the applicant submits the
 "Help Us Serve You Better" form, the system 
displays a confirmation message:
"Record created successfully!"</t>
  </si>
  <si>
    <t>1. Click the "Submit" button on the Request for Inspection
form.
2. Fill out all required fields in the "Help Us Serve You Better"
form.
3. Click the submit button</t>
  </si>
  <si>
    <t>After the applicant submits the "Help Us 
Serve You Better" form, the system 
displays a success message:
"Record created successfully!"
This confirms that the feedback or 
input has been saved successfully.</t>
  </si>
  <si>
    <t>Verify that the Applicant is able to view the
Inspection Request table</t>
  </si>
  <si>
    <t>-Applicant is logged in into the 
system.
-Applicant has access to the 
EnvironmentalClearance 
Submodule
-Applicant has access to 
Requestfor Inspection tab</t>
  </si>
  <si>
    <t>1. Navigate to Transaction 
2. Click down arrow in Environmental Clerance 
3. Click Request for Inspection
4. Check the Inspection Request table</t>
  </si>
  <si>
    <t xml:space="preserve">The applicant is able to view the 
Inspection Request table displaying
accurate and complete information, 
including request details such as date,
status, service type, and any relevant
 actions.
</t>
  </si>
  <si>
    <t>Verify that the Applicant is able to view the
Status</t>
  </si>
  <si>
    <t>The applicant able to view the Status</t>
  </si>
  <si>
    <t xml:space="preserve">Verify that the pagination buttons 
(“&gt;”, “&lt;”, “&gt;&gt;”, “&lt;&lt;”) are clickable </t>
  </si>
  <si>
    <t>1. Click the “&gt;” or “&lt;” button and verify the next
or previous page of Inspection Request is displayed
2. Click the “&gt;&gt;” or “&lt;&lt;” button and verify the
last or first page of Inspection Reques is displayed
3. Check the accuracy of displayed data on
each page</t>
  </si>
  <si>
    <t>- All pagination buttons are
clickable
- “&gt;” and “&lt;” navigate to the
next/previous page
- “&gt;&gt;” and “&lt;&lt;” navigate to the
last/first page
- Each page displays accurate &amp;
expected Inspection Request data</t>
  </si>
  <si>
    <t xml:space="preserve"> Verify if "Request services" module is functional in order to display specific window for data inputs.</t>
  </si>
  <si>
    <t>- Applicant is logged into the system
- Is in "Other Services" module</t>
  </si>
  <si>
    <t>1. Click on "Request for Services" button and verify if it will display a window for inputs.</t>
  </si>
  <si>
    <t>- "Other Services" window should pop up where users should be able to input their information.</t>
  </si>
  <si>
    <t>Verify if inputs made for "Other Services" are saved to the data list.</t>
  </si>
  <si>
    <t xml:space="preserve">- Applicant is logged into the system
- Is in "Other Services" module
- Is on "Other Services" window
</t>
  </si>
  <si>
    <t xml:space="preserve">
- Make necessary inputs required
- Click on "Choose File" and verify if files will be taken and saved. 
- Click on the "submit" button and check if data inputs are saved.</t>
  </si>
  <si>
    <t>- Inputs from the "Other Services" window should be saved in the data list of "Other Services" Module</t>
  </si>
  <si>
    <t>Verify that the module and its sub-tabs are
accessible and visible from the Dashboard</t>
  </si>
  <si>
    <t>- Applicant is logged in
- Applicant is on the Dashboard page</t>
  </si>
  <si>
    <t>1. Login as Applicant
2. From the main Dashboard, locate and click Environmental
Ordinance Violation module
3. Check that the module loads successfully
4. Verify that tabs (e.g., Violation Ticket Issuance, Order of 
Payment, etc.,) are visible</t>
  </si>
  <si>
    <t>- Environmental Ordinance Violation module 
loads successfully
- All relevant sub-tabs (e.g., Violation Ticket
Issuance, Order of Payment, etc.,) are visible
and accessible</t>
  </si>
  <si>
    <t>Verify applicant can access Environmental 
Ordinance and view Order of Payment</t>
  </si>
  <si>
    <t>- Applicant is logged in
- Applicant is on the Environmental 
Ordinance Violation page</t>
  </si>
  <si>
    <t>1. Go to the Environmental  Ordinance Violation module
2. View the Order of Payment table</t>
  </si>
  <si>
    <t xml:space="preserve">- Applicant should see accurate violation 
 and payment records in the table
</t>
  </si>
  <si>
    <t>Verify that the Pay button is visible and 
functions correctly based on the payment 
status</t>
  </si>
  <si>
    <t>1. Go to the Order of Payment tab
2. Locate entries with various Payment Status 
(e.g., Paid, Pending, Unpaid)
3. Check if the Pay button is visible only for applicable 
statuses
4. Click the Pay button for an Unpaid record</t>
  </si>
  <si>
    <t>- Pay button is visible only for Unpaid and 
Pending statuses
- No Pay button for Paid status
- Clicking Pay redirects to the appropriate 
payment process/form</t>
  </si>
  <si>
    <t>Verify that the pagination buttons 
(“&gt;”, “&lt;”, “&gt;&gt;”, “&lt;&lt;”) are clickable and 
navigate through the Order of Payment</t>
  </si>
  <si>
    <t>1. Go to the Environmental Ordinance Violation module
2. Click the Order of Payment tab
3. Click the “&gt;” or “&lt;” button to go to the next or previous page
4. Click the “&gt;&gt;” or “&lt;&lt;” button to go to the last or first page
5. Check if the data displayed on each page is accurate</t>
  </si>
  <si>
    <t>- All pagination buttons are clickable
- “&gt;” and “&lt;” navigate to the next/previous
page
- “&gt;&gt;” and “&lt;&lt;” navigate to the last/first
page
- Each page displays accurate and expected 
Order of Payment data</t>
  </si>
  <si>
    <t>Verify that the applicant can view 
the violation summary and its contents</t>
  </si>
  <si>
    <t xml:space="preserve">- Applicant is logged in into the system
- Applicant is on the Environmental 
Ordinance Violation page
</t>
  </si>
  <si>
    <t>1. Log in as an Applicant user 
2. Click the Environmental Ordinance Violation Module 
3. Navigate to the Violations section table.
4. Click on Violation.</t>
  </si>
  <si>
    <t>-The summary of the violation form is displayed.
- It shows the violation details.</t>
  </si>
  <si>
    <t>Verify that the applicant can view the status
 of each violation</t>
  </si>
  <si>
    <t>1. Go to the Violations table.
2. Select a specific violation.</t>
  </si>
  <si>
    <t>-Status field is visible and reflects the 
correct status</t>
  </si>
  <si>
    <t>Verify that the applicant can view the supporting 
documents for a violation</t>
  </si>
  <si>
    <t>1.Go to Violations list.
2.Click on a violation.
3.Click Supporting Documents.</t>
  </si>
  <si>
    <t>-Supporting files are displayed (PDF, images, etc.).
-User can preview or download them.</t>
  </si>
  <si>
    <t>Verify that the applicant can initiate and pay 
the violation fines</t>
  </si>
  <si>
    <t>- Applicant is logged in into the system
- Applicant is on the Environmental 
Ordinance Violation page
-The selected violation has 
a payable fine.
-Payment service is active.</t>
  </si>
  <si>
    <t>1. Select Violations &gt; Pay Fine.
2. Click Pay Fines on a violation.
3. Proceed through payment steps.</t>
  </si>
  <si>
    <t>-Fine amount is shown correctly.
-Payment proceeds successfully.</t>
  </si>
  <si>
    <t>Verify that the applicant can view available 
payment methods</t>
  </si>
  <si>
    <t xml:space="preserve">- Applicant is logged in into the system
- Applicant is on the Environmental 
Ordinance Violation page
- Applicant is on the payment screen.
- System has multiple payment
 options configured.
</t>
  </si>
  <si>
    <t>1. Click Pay Fines in the violation summary form.
2. View the payment method section.</t>
  </si>
  <si>
    <t>-All available payment methods are listed 
(e.g., GCash, QR Code, Credit Card).</t>
  </si>
  <si>
    <t>Verify that the applicant can select and 
use a payment method</t>
  </si>
  <si>
    <t>1. Select a payment method (e.g., Bank Card, GCash).
2. Enter required details.
3. Click Pay to submit the payment.</t>
  </si>
  <si>
    <t xml:space="preserve">
-Payment is processed.
-Success confirmation appears.</t>
  </si>
  <si>
    <t>Verify that the applicant can use a QRph 
code for easy payment</t>
  </si>
  <si>
    <t xml:space="preserve">
-Payment completes via the app.
-System reflects successful transaction.</t>
  </si>
  <si>
    <t>Verify that the applicant can see if the payment
 was successful</t>
  </si>
  <si>
    <t xml:space="preserve">1. Open the paid violation details.
2. Locate payment confirmation info. 
</t>
  </si>
  <si>
    <t xml:space="preserve">Verify that the violation summary updates to
 "Paid" after successful payment
</t>
  </si>
  <si>
    <t xml:space="preserve">- Applicant is logged in into the system
- Applicant is on the Environmental 
Ordinance Violation page
-Payment is successful and
 recorded in the system.
</t>
  </si>
  <si>
    <t xml:space="preserve">Verify that the “Go Back” button appears
 after successful payment
</t>
  </si>
  <si>
    <t>NOT YET STARTED</t>
  </si>
  <si>
    <t xml:space="preserve">DASHBOARD </t>
  </si>
  <si>
    <t>Ensure that the system provides an appropriate message, such as "No results found," if the search query is invalid or does not match any results.</t>
  </si>
  <si>
    <t>1.Navigate to the dashboard.
2.Locate the search bar.
3.Enter a valid search query that does not match to existing data.
4.Press the Search button or hit Enter</t>
  </si>
  <si>
    <t>The system displays a clear and appropriate message, such as "No results found" or is blank.</t>
  </si>
  <si>
    <t>USER MANAGEMENT</t>
  </si>
  <si>
    <t>As an admin, I can add and delete registered accounts</t>
  </si>
  <si>
    <t>Validate that the admin can click on the Add button</t>
  </si>
  <si>
    <t>Admin is logged in and at the User Management tab</t>
  </si>
  <si>
    <t>1. Hover and click on the "Add" button</t>
  </si>
  <si>
    <t>The "Add" button is clickable and shows a form for adding an account</t>
  </si>
  <si>
    <t>Validate that the admin can input necessary information for creating an account</t>
  </si>
  <si>
    <t>1. Click on the "Add" button
2. Try to input information in each input field on the form</t>
  </si>
  <si>
    <t>Input fields on the "Create Account" form are clickable and accepts inputs</t>
  </si>
  <si>
    <t>Validate that the system only accepts unique ID numbers for creating an account</t>
  </si>
  <si>
    <t>1. Click on the "Add" button
2. Input a new or existing ID for the unique ID field
3. Input information in each input field on the form
4. Click on the "Save" button</t>
  </si>
  <si>
    <t>The form doesn't accept the ID number field if ID number is already existing</t>
  </si>
  <si>
    <t>Validate that the admin can close the Create Account form</t>
  </si>
  <si>
    <t>1. Click on the "Add" button
2. Click on the "Close" button</t>
  </si>
  <si>
    <t>The "Close" button is clickable and closes the "Create Account" form</t>
  </si>
  <si>
    <t>Validate that the admin sees a confirmation window when closing the Create Account form</t>
  </si>
  <si>
    <t>1. Click on the "Add" button
2. Click on the "Close" button
3. Confirm if there is a popup that says yes or no</t>
  </si>
  <si>
    <t>A confirmation window pops up asking if the user wants to cancel</t>
  </si>
  <si>
    <t>Validate that the admin can save and submit the Create Account form</t>
  </si>
  <si>
    <t>1. Click on the "Add" button
2. Click on the "Save" button
3. Click on the "Continue" button</t>
  </si>
  <si>
    <t>The "Save" button is clickable and adds the account to the list</t>
  </si>
  <si>
    <t>Validate that the admin can click on the Delete button</t>
  </si>
  <si>
    <t>1. Hover and click on the "Delete (Trash Icon)" button</t>
  </si>
  <si>
    <t>The "Delete" button is clickable</t>
  </si>
  <si>
    <t>Validate that the admin sees a confirmation window when clicking the Delete button</t>
  </si>
  <si>
    <t>1. Click on the "Delete (Trash Icon)" button
2. Confirm if there is a popup that says Cancel and Delete</t>
  </si>
  <si>
    <t>A confirmation window pops up confirming if the user wants to delete the account</t>
  </si>
  <si>
    <t>Validate that the admin can close the Delete confirmation window</t>
  </si>
  <si>
    <t>1. Click on the "Delete (Trash Icon)" button
2. Click on the "Cancel" button</t>
  </si>
  <si>
    <t>The "Cancel" button is clickable</t>
  </si>
  <si>
    <t xml:space="preserve">Validate that the admin can delete an account </t>
  </si>
  <si>
    <t>1. Click on the "Delete (Trash Icon)" button
2. Click on the "Delete" button</t>
  </si>
  <si>
    <t>The "Delete" button is clickable on the delete confirmation window</t>
  </si>
  <si>
    <t>Validate that the admin sees a delete successful window when clicking the Delete button in the Delete confirmation window</t>
  </si>
  <si>
    <t>1. Click on the "Delete (Trash Icon)" button
2. Click on the "Delete" button
3. Confirm if there is a popup that says "User Deleted Succesfully"</t>
  </si>
  <si>
    <t>A confirmation window pops up noting that the account has been successfully deleted</t>
  </si>
  <si>
    <t>As an admin, I can import and export registered accounts</t>
  </si>
  <si>
    <t>Validate that the admin can click on the Import button</t>
  </si>
  <si>
    <t>1. Hover and click on the "Import" button</t>
  </si>
  <si>
    <t>The "Import" button is clickable</t>
  </si>
  <si>
    <t>Validate that the admin upload excel files to import accounts</t>
  </si>
  <si>
    <t>1. Click on the "Import" button
2. Click on the space to browse for excel files</t>
  </si>
  <si>
    <t>The user can click on the space provided or drag and drop excel files to the window</t>
  </si>
  <si>
    <t>Validate that the admin can cancel importing accounts</t>
  </si>
  <si>
    <t>1. Click on the "Import" button
2. Click on the "Cancel" button</t>
  </si>
  <si>
    <t>Validate that the admin can import and submit accounts uploaded</t>
  </si>
  <si>
    <t>1. Click on the "Import" button
2. Click on the space to browse for excel files or Drag and drop excel file to window
3. Click on the "Import" button</t>
  </si>
  <si>
    <t>The "Import" button is clickable on the import window</t>
  </si>
  <si>
    <t>Validate that the admin can click on the Export button</t>
  </si>
  <si>
    <t>1. Check the box on the selected account
2. Hover and click on the "Export" button</t>
  </si>
  <si>
    <t>The "Export" button is clickable</t>
  </si>
  <si>
    <t>As an admin, I want to search for registered accounts using the search bar accurately and efficiently.</t>
  </si>
  <si>
    <t>Validate that the admin can type in anything inside the search bar</t>
  </si>
  <si>
    <t>Admin is logged in and at the User Management Tab</t>
  </si>
  <si>
    <t>1. Go to User Management Tab
2. Type anything inside the search bar</t>
  </si>
  <si>
    <t>User can type and the search bar accepts user input</t>
  </si>
  <si>
    <t>Verify that the inputted text in the search bar displays accurate information</t>
  </si>
  <si>
    <t>1. Go to User Management Tab
2. Navigate the results displayed under the search bar</t>
  </si>
  <si>
    <t>User input matches the displayed results under the search bar</t>
  </si>
  <si>
    <t>As an admin, I want to filter the information I want to see</t>
  </si>
  <si>
    <t>Validate that there is a Filter Button displayed in the page</t>
  </si>
  <si>
    <t>1. Go to User Management Tab
2. Navigate the Filter button</t>
  </si>
  <si>
    <t>There is a Filter button present in the page</t>
  </si>
  <si>
    <t>Verify if the user can click the Filter Button</t>
  </si>
  <si>
    <t>1. Go to User Management Tab
2. Click the Filter Button</t>
  </si>
  <si>
    <t>A pop up will be displayed for Filter options</t>
  </si>
  <si>
    <t>Verify that the selected filter options are correctly displayed after applying filters.</t>
  </si>
  <si>
    <t>1. Go to User Management Tab
2. Click the Filter Button
3. Click the Apply button</t>
  </si>
  <si>
    <t>The selected filter options should matched the displayed results</t>
  </si>
  <si>
    <t>As an admin, I want to view search results using pagination</t>
  </si>
  <si>
    <t>Validate that the admin can click the "&gt;" button</t>
  </si>
  <si>
    <t>1. Go to User Management Tab
2. Navigate the "&gt;" button under the displayed results</t>
  </si>
  <si>
    <t>The "&gt;" button is clickable</t>
  </si>
  <si>
    <t>1. Go to User Management Tab
2. Click the "&gt;" button under the displayed results</t>
  </si>
  <si>
    <t>The results should go to next page</t>
  </si>
  <si>
    <t>Validate that the admin can click the "&gt;&gt;" button</t>
  </si>
  <si>
    <t>1. Go to User Management Tab
2. Navigate the "&gt;&gt;" button under the displayed results</t>
  </si>
  <si>
    <t>The "&gt;&gt;" button is clickable</t>
  </si>
  <si>
    <t>Verify that the "&gt;&gt;" button will go to the very end page of the displayed result</t>
  </si>
  <si>
    <t>1. Go to User Management Tab
2. Click the "&gt;&gt;" button under the displayed results</t>
  </si>
  <si>
    <t>The results should go to the last page of pagination</t>
  </si>
  <si>
    <t>1. Go to User Management Tab
2. Navigate the "&gt;&gt;" or "&gt;"  button under the displayed results
3. Verify the information displayed in each pagination</t>
  </si>
  <si>
    <t>Information displayed in each pagination should be accurate</t>
  </si>
  <si>
    <t>As an admin, I can edit or delete individual registered accounts</t>
  </si>
  <si>
    <t>Validate that the admin can click the"..." button</t>
  </si>
  <si>
    <t>1. Go to User Management Tab
2. Click the "..." button</t>
  </si>
  <si>
    <t>The "..." button should be clickable</t>
  </si>
  <si>
    <t>Validate that the admin can click the"Edit" button</t>
  </si>
  <si>
    <t>1. Go to User Management Tab
2. Click the "Edit" button</t>
  </si>
  <si>
    <t>The "Edit" button should be clickable</t>
  </si>
  <si>
    <t>Validate that the admin can click the"Delete" button</t>
  </si>
  <si>
    <t>1. Go to User Management Tab
2. Click the "Delete" button</t>
  </si>
  <si>
    <t>The "Delete" button should be clickable</t>
  </si>
  <si>
    <t>Verify if the admin can update the ID Number from Edit Account tab</t>
  </si>
  <si>
    <t>Admin is in the Edit Account Tab</t>
  </si>
  <si>
    <t>1. Go to User Management Tab
2. Click the "Edit" button
3. Type the new ID number
4. Click Update</t>
  </si>
  <si>
    <t>The updated ID Number of the user should be unique and listed in the results</t>
  </si>
  <si>
    <t>Verify if the admin can update the Registration Date from Edit Account tab</t>
  </si>
  <si>
    <t>1. Go to User Management Tab
2. Click the "Edit" button
3. Choose a new date 
4. Click Update</t>
  </si>
  <si>
    <t>The updated Registration Date of the user should be listed in the results</t>
  </si>
  <si>
    <t>Verify if the admin can update the Name from Edit Account tab</t>
  </si>
  <si>
    <t>1. Go to User Management Tab
2. Click the "Edit" button
3. Type the new Name
4. Click Update</t>
  </si>
  <si>
    <t>The updated Name of the user should be listed in the results</t>
  </si>
  <si>
    <t>Verify if the admin can update the Email from Edit Account tab</t>
  </si>
  <si>
    <t>1. Go to User Management Tab
2. Click the "Edit" button
3. Type the new Email
4. Click Update</t>
  </si>
  <si>
    <t>The updated Email of the user should be listed in the results</t>
  </si>
  <si>
    <t>Verify if the admin can update the Division from Edit Account tab</t>
  </si>
  <si>
    <t>1. Go to User Management Tab
2. Click the "Edit" button
3. Choose a new Division
4. Click Update</t>
  </si>
  <si>
    <t>The updated Division of the user should be listed in the results</t>
  </si>
  <si>
    <t>Verify if the admin can update the Role from Edit Account tab</t>
  </si>
  <si>
    <t>1. Go to User Management Tab
2. Click the "Edit" button
3. Choose a new Role
4. Click Update</t>
  </si>
  <si>
    <t>The updated Role of the user should be listed in the results</t>
  </si>
  <si>
    <t>Verify if the admin can update the New Password from Edit Account tab</t>
  </si>
  <si>
    <t>1. Go to User Management Tab
2. Click the "Edit" button
3. Type the new password
4. Click Update</t>
  </si>
  <si>
    <t>The updated password of the user should be applied in the account</t>
  </si>
  <si>
    <t>Validate if the admin can click the "Update" button</t>
  </si>
  <si>
    <t>1. Go to User Management Tab
2. Click the ""Edit"" button
3. Navigate the Update button</t>
  </si>
  <si>
    <t>The "Update" button should be clickable</t>
  </si>
  <si>
    <t>Validate if the admin can click the "Close" button</t>
  </si>
  <si>
    <t>1. Go to User Management Tab
2. Click the ""Edit"" button
3. Navigate the "Close" button</t>
  </si>
  <si>
    <t>The "Close" button should be clickable</t>
  </si>
  <si>
    <t>Verify if the admin can update the information using the "Update" button</t>
  </si>
  <si>
    <t>1. Go to User Management Tab
2. Click the ""Edit"" button
3. Click the "Update" button</t>
  </si>
  <si>
    <t xml:space="preserve">Inputted changes should be applied </t>
  </si>
  <si>
    <t>Verify if the admin can close the Edit Account Tab using the "Close" button</t>
  </si>
  <si>
    <t>1. Go to User Management Tab
2. Click the ""Edit"" button
3. Click the "Close" button</t>
  </si>
  <si>
    <t>1. A pop up will be displayed for confirmation of closing the edit account tab
2. Edit account tab will be closed</t>
  </si>
  <si>
    <t>Verify if the admin can delete a registered account using the "Delete" button</t>
  </si>
  <si>
    <t>1. Go to User Management Tab
2. Click the "Delete" button
3. Click the "Delete" button</t>
  </si>
  <si>
    <t>1. A pop up will be displayed for confirmation of deleting the registered account
2. The deleted account should be removed in the displayed results</t>
  </si>
  <si>
    <t>Validate that the admin sees a confirmation window when clicking the Delete button under the actions button</t>
  </si>
  <si>
    <t>1. Click on the "..." button for a user
2. Click on the "Delete" button for a user
3. Confirm if there is a popup that says Cancel and Delete</t>
  </si>
  <si>
    <t>A confirmation window pops up confirming if the user wants to delete the selected account</t>
  </si>
  <si>
    <t>Validate that the admin can cancel/close the Delete confirmation window under the actions button</t>
  </si>
  <si>
    <t>1. Click on the "..." button for a user
2. Click on the "Delete" button for a user
3. Click on the "Cancel" button</t>
  </si>
  <si>
    <t>Validate that the admin sees a delete successful window when clicking the Delete button in the Delete confirmation window under the actions tab</t>
  </si>
  <si>
    <t>1. Click on the "..." button for a user
2. Click on the "Delete" button for a user
3. Click on the "Delete" button
4. Confirm if there is a popup that says "User Deleted Succesfully"</t>
  </si>
  <si>
    <t>ENVIRONMENTAL CLEARANCE</t>
  </si>
  <si>
    <t xml:space="preserve">As an Admin, I can switch what table to see in Environmental clerance </t>
  </si>
  <si>
    <t>Admin is in the Environment Clearance</t>
  </si>
  <si>
    <t xml:space="preserve">1. Go to Environmental Clerance 
2. Click Drop down button
3. Select which table Admin User wanted to view </t>
  </si>
  <si>
    <t xml:space="preserve">The user should be able to view the table of the selected in Environmental Clerancnce </t>
  </si>
  <si>
    <t>Validate that the information being input is the correct data you want to enter and can add a report/information</t>
  </si>
  <si>
    <t>1. Go to Environmental Clearance
2. Search for Greenhouse Gas Inventory, and Click "Add"
3. Input the details of the Report Form
4. Click "Submit"</t>
  </si>
  <si>
    <t>The user should be able to see the information below the GGI Table</t>
  </si>
  <si>
    <t>The system should return relevant results matching the searched keywords.</t>
  </si>
  <si>
    <t>Verify the filtering functionality for information display</t>
  </si>
  <si>
    <t>1. Navigate to the filtering section of the system.
2. Select specific criteria to filter the information (e.g., date, category, status).
3. Apply the filter and observe the displayed results.</t>
  </si>
  <si>
    <t>The system should display only the information matching the selected filter criteria.</t>
  </si>
  <si>
    <t>As an admin, I can add Inspection Request Form</t>
  </si>
  <si>
    <t>Verify that the "Add" button will show the Inspection Request
 form</t>
  </si>
  <si>
    <t>Useris in the Environment Clearance module</t>
  </si>
  <si>
    <t>1. Click Add
2. Verify if it shows the Inspection Request form</t>
  </si>
  <si>
    <t>Clicking "Add" button will show 
the Inspection Request
 form</t>
  </si>
  <si>
    <t>Verify that the use can add a data on  Anti-Noise pollution 
section</t>
  </si>
  <si>
    <t>User is already in the Inspection Request
 form</t>
  </si>
  <si>
    <t xml:space="preserve">
1. Fill up the requested forms with valid data
2. Click Submit</t>
  </si>
  <si>
    <t>It should add the users inputted 
data in the Anti- noise pollutioin 
section</t>
  </si>
  <si>
    <t>Verify that the close button on the Inspection 
Request Form will close the form</t>
  </si>
  <si>
    <t>1. Click close</t>
  </si>
  <si>
    <t>Close button on the Inspection 
Request Form will close the form</t>
  </si>
  <si>
    <t>As an admin, I can see the items in the
pagination</t>
  </si>
  <si>
    <t>Validate that the information being shown in 
Greenhouse Gas Inventory Section and 
 Anti-Noise Pollution Section is the 
correct data</t>
  </si>
  <si>
    <t>1. User is already in the Environmental Clearance 
Section 
2. Greenhouse Gas Inventory Section and 
 Anti-Noise Pollution Section must have at least 
one data each</t>
  </si>
  <si>
    <t>1. Validate the data on Greenhouse Gas Inventory
 Section and Anti-Noise Pollution Section if they 
are accurate</t>
  </si>
  <si>
    <t>The user should see the accurate information of the 
Greenhouse Gas Inventory Section andx Anti-Noisex Pollution</t>
  </si>
  <si>
    <t>Verify that the "Next Page" button and the
 "Previous Page" button navigates the user to the
corresponding page</t>
  </si>
  <si>
    <t>1. User is already in the Environmental Clearance 
Section 
2. Greenhouse Gas Inventory Section and 
Anti-Noise Pollution Section must have at least 
11 data each</t>
  </si>
  <si>
    <t>1. Click "Next Page" button 
2. Verify that it go to the next page
3. Click "Previous Page" button
4. Verify that it go to the previous page</t>
  </si>
  <si>
    <t>Ther user should navigate on 
the correct page when clicking 
the buttons</t>
  </si>
  <si>
    <t>Verify that the number ordering updates according
to the
actual item number</t>
  </si>
  <si>
    <t xml:space="preserve">1. Click "Next Page" button 
2. Validate that the Item number are according to
 the items's order in the list
</t>
  </si>
  <si>
    <t>The user should able to see 
correct item numbers according
 to the actual ordered number</t>
  </si>
  <si>
    <t>Verify that the "First Page" button and the
 "Last Page" button navigates the user to the
corresponding page</t>
  </si>
  <si>
    <t>1. User is already in the Environmental Clearance 
Section 
2. Greenhouse Gas Inventory Section and 
Anti-Noise Pollution Section must have at least 
21 data each</t>
  </si>
  <si>
    <t>1. Click "First Page" button 
2. Verify that it go to the first page
3. Click "Last Page" button
4. Verify that it go to the Last page</t>
  </si>
  <si>
    <t>As an Admin I can edit action button</t>
  </si>
  <si>
    <t xml:space="preserve">Verify the clicking action (edit button) </t>
  </si>
  <si>
    <t>1. Go to Environmental Clearance
2. Click the three dots in Action
3. Click the Edit in dropdown</t>
  </si>
  <si>
    <t xml:space="preserve">The user already clicked of edit button in Action </t>
  </si>
  <si>
    <t>WASTE COLLECTION</t>
  </si>
  <si>
    <t>As an Admin, I can add a report in Waste collection</t>
  </si>
  <si>
    <t>Verify that the admin can add daily reports</t>
  </si>
  <si>
    <t>Admin is in the Waste Collection Section</t>
  </si>
  <si>
    <t>1. Log in as admin in the system
2. Go to the Waste Collection module
3. Go to the Daily Collection Report Section
4. Click the add button</t>
  </si>
  <si>
    <t>The admin should be able to add daily reports after filling up the required fields</t>
  </si>
  <si>
    <t>Verify that all required fields display validation errors if left blank</t>
  </si>
  <si>
    <t>1. Admin is in the Waste Collection Section
2. Admin is in the Daily Collection Report Form</t>
  </si>
  <si>
    <t>1. Log in as admin in the system
2. Go to the Waste Collection module
3. Go to the Daily Collection Report Section
4. Click the add button
5. Click the next button without filling in the fields</t>
  </si>
  <si>
    <t>The admin should see that validation errors are displayed for each blank field</t>
  </si>
  <si>
    <t>As an Admin, I can delete a report in Waste collection</t>
  </si>
  <si>
    <t>Verify that the admin can delete daily reports</t>
  </si>
  <si>
    <t>1. Admin is in the Waste Collection Section
2. At least one data already exists in the system</t>
  </si>
  <si>
    <t>1. Log in as admin in the system
2. Go to the Waste Collection module
3. Go to the Daily Collection Report Section
4. Select the data you want to delete
5. Click delete icon</t>
  </si>
  <si>
    <t>The admin should see that deleted data are no longer displayed</t>
  </si>
  <si>
    <t>As an Admin, I want to search for specific reports in the search bar</t>
  </si>
  <si>
    <t>Verify that entering a valid search query in the search bar displays accurate results</t>
  </si>
  <si>
    <t>1. Log in as admin in the system
2. Go to the Waste Collection module
3. Go to the Daily Collection Report Section
4. Enter a valid search query in the search bar</t>
  </si>
  <si>
    <t>The admin should be able to see accurate results that match the search query</t>
  </si>
  <si>
    <t>Verify that entering a invalid search query in the search bar displays no data</t>
  </si>
  <si>
    <t>1. Log in as admin in the system
2. Go to the Waste Collection module
3. Go to the Daily Collection Report Section
4. Enter an invalid search query in the search bar</t>
  </si>
  <si>
    <t>The admin should be able to see the result "No data found"</t>
  </si>
  <si>
    <t>As an Admin I can filter dispatch table in Waste collection</t>
  </si>
  <si>
    <t>Verify that an admin can set default filters for users</t>
  </si>
  <si>
    <t>1. Log in as admin in the system
2. Go to the Waste Collection module
3. Click the filter icon</t>
  </si>
  <si>
    <t>Admin should set default filters.</t>
  </si>
  <si>
    <t>As an admin, i want the ability to navigate directly to a specific page number</t>
  </si>
  <si>
    <t>Verify the current page number and total of pages displayed</t>
  </si>
  <si>
    <t xml:space="preserve">1. Log in as admin in the system
2. Go to the Waste Collection module
3. Click the next page
4. Click the previous page
</t>
  </si>
  <si>
    <t>The admin should be directed to the correct page when navigating</t>
  </si>
  <si>
    <t>As an Admin I can edit a report in Waste collection</t>
  </si>
  <si>
    <t>Verify that an admin can edit a record from the Waste Collection</t>
  </si>
  <si>
    <t>1. Log in as admin in the system
2. Go to the Waste Collection module
3. Scroll down to the Daily Collection Report Section
4. Click the "..." button
5. Click the edit button
6. Edit the field that you want to update
7. Click Submit</t>
  </si>
  <si>
    <t>The selected record should be updated in the table and when trying to edit it again</t>
  </si>
  <si>
    <t xml:space="preserve">Validate that admin can edit the plate number of trucke should be 3 Letters and 4 Numbers </t>
  </si>
  <si>
    <t>"1. Log in as admin in the system
2. Go to the Waste Collection module
3. Scroll down to the Daily Collection Report Section
4. Click the ""..."" button
5. Click the edit button
6. Edit the field that you want to update
7. Click Submit"</t>
  </si>
  <si>
    <t>The plate number of the truck should required 3 Letters and 3 Numbers</t>
  </si>
  <si>
    <t>As an Admin I can delete a report in Waste collection</t>
  </si>
  <si>
    <t>Verify that an admin can delete a report from the Waste Collection from the Action button</t>
  </si>
  <si>
    <t>1. Log in as admin in the system
2. Go to the Waste Collection module
3. Scroll down to the Daily Collection Report Section
4. Click the "..." button
5. Click the delete button
6. Confirm deletion</t>
  </si>
  <si>
    <t>The selected record should be deleted from the table</t>
  </si>
  <si>
    <t>As an Admin, I want to point out the location on GPS Tracker</t>
  </si>
  <si>
    <t>Validate that the admin may point out, drag the location, and zoom in or out the GPS tracker</t>
  </si>
  <si>
    <t xml:space="preserve">1. Log in as admin in the system
2. Go to the Waste Collection module
3. Go to the GPS tracker
</t>
  </si>
  <si>
    <t>The admin should be point out, drag the location, and zoom in or out of the GPS tracker</t>
  </si>
  <si>
    <t>Validate the chosen account will be shown on the GPS Tracker</t>
  </si>
  <si>
    <t>The admin should be shown the schedule and location of account on the GPS Tracker</t>
  </si>
  <si>
    <t>The account chosen was not shown in the GPS tracker and can't be track</t>
  </si>
  <si>
    <t>Validate the maps that may enlarge when the admin click the feature to enlarge the map</t>
  </si>
  <si>
    <t xml:space="preserve">
1. Log in as admin in the system
2. Go to the Waste Collection module
3. Go to the GPS tracker
4. Click the view larger map</t>
  </si>
  <si>
    <t>The admin should see the larger map when it clicks the enlarge map button</t>
  </si>
  <si>
    <t>SYSTEM MANAGEMENT (ROLE MANAGEMENT)</t>
  </si>
  <si>
    <t>As an admin, I want add my account</t>
  </si>
  <si>
    <t>Validate the number of digits have max digits</t>
  </si>
  <si>
    <t>User is already in the Add in Role Management</t>
  </si>
  <si>
    <t xml:space="preserve">1. Login your Makati WMS account
2. Go to the System Management 
3. Click the Role Management
4. Click the Add button
5. in the part of ID number type your number </t>
  </si>
  <si>
    <t>The user should input the required digits and Numbers only</t>
  </si>
  <si>
    <t>Validate the given blank should be implement in the table</t>
  </si>
  <si>
    <t xml:space="preserve">1. Login your Makati WMS account
2. Go to the System Management 
3. Click the Role Management
4. Click the Add button
5.Fill the blanks given </t>
  </si>
  <si>
    <t>The information that fill in the add acount should be shown in the table</t>
  </si>
  <si>
    <t>Validate that the user can edit the account</t>
  </si>
  <si>
    <t xml:space="preserve">1. Login your Makati WMS account
2. Go to the System Management 
3. Click the Role Management
4. Click the meatball button(Three dots)
5. Click the Edit
6.Edit the your account
7.)Then submit
</t>
  </si>
  <si>
    <t>The edited of the account should be changed and will be shown on the table</t>
  </si>
  <si>
    <t>As an admin, I should be able to search role in search bar</t>
  </si>
  <si>
    <t>Validate the Search using # (Index Number)</t>
  </si>
  <si>
    <t>The user is on the Role Management module</t>
  </si>
  <si>
    <t>1. Login your Makati WMS account
2. Go to the System Management 
3. Click the Role Management
4. Enter an existing index number in the search bar. 
5. Click the Search button.</t>
  </si>
  <si>
    <t>the admin should be able to see the row with the matching index number.</t>
  </si>
  <si>
    <t>Validate the Search using ID Number</t>
  </si>
  <si>
    <t>1. Login your Makati WMS account
2. Go to the System Management 
3. Click the Role Management
4. Enter an existing ID Number in the search bar
5. Click the Search button.</t>
  </si>
  <si>
    <t>the admin should be able to see  only the row with the matching ID Number.</t>
  </si>
  <si>
    <t>Validate the Search using Role</t>
  </si>
  <si>
    <t>1. Login your Makati WMS account
2. Go to the System Management 
3. Click the Role Management
4. Enter an existing Role name in the search bar. 
5. Click the Search button.</t>
  </si>
  <si>
    <t>the admin should be able to see the roles matching the search input.</t>
  </si>
  <si>
    <t>Validate the Search using Description</t>
  </si>
  <si>
    <t>1. Login your Makati WMS account
2. Go to the System Management 
3. Click the Role Management
4. Enter a keyword from the description field.  
5. Click the Search button.</t>
  </si>
  <si>
    <t>the admin should be able to see only the roles that have the searched keyword in their description.</t>
  </si>
  <si>
    <t>Validate the Search using non-existing value</t>
  </si>
  <si>
    <t>1. Login your Makati WMS account
2. Go to the System Management 
3. Click the Role Management
4. Enter a non-existing value in the search bar.
5. Click the Search button.</t>
  </si>
  <si>
    <t>the admin should be able to see a message like "no found data" appears, or the table is empty.</t>
  </si>
  <si>
    <t xml:space="preserve">Validate the Clear search input </t>
  </si>
  <si>
    <t>The user is on the Role Management module and has already performed a search</t>
  </si>
  <si>
    <t>"1. Login your Makati WMS account
2. Go to the System Management 
3. Click the Role Management
4. Clear the search bar (remove all text).</t>
  </si>
  <si>
    <t>The table should display all rows again (reset to the default view).</t>
  </si>
  <si>
    <t xml:space="preserve">As an admin, I should be able to filter the list of accounts </t>
  </si>
  <si>
    <t>Validate the number of accounts  should be display per page</t>
  </si>
  <si>
    <t>The user is on the Role Management Filter module</t>
  </si>
  <si>
    <t>1. Login your Makati WMS account
2. Go to the System Management 
3. Click the Role Management
4. Click the filter button
5. set the number of account that will be display</t>
  </si>
  <si>
    <t>The number of set number will be shown in the table</t>
  </si>
  <si>
    <t>As an admin, I should be able to select role in filter</t>
  </si>
  <si>
    <t>Validate the selected roles should be display per page</t>
  </si>
  <si>
    <t xml:space="preserve">1. Login your Makati WMS account
2. Go to the System Management 
3. Click the Role Management
4. Click the filter button
5. select an role
</t>
  </si>
  <si>
    <t xml:space="preserve">The selected role will be shown in the table </t>
  </si>
  <si>
    <t>As an admin, I should be able to see the number of pages in pagination</t>
  </si>
  <si>
    <t>Validate the number of accounts should be accurate on the pagination button</t>
  </si>
  <si>
    <t>1. Login your Makati WMS account
2. Go to the System Management 
3. Click the Role Management
4. Click the Pagination button</t>
  </si>
  <si>
    <t>The number of accounts on the pagination should be equal.</t>
  </si>
  <si>
    <t>SYSTEM MANAGEMENT (DIVISION MANAGEMENT)</t>
  </si>
  <si>
    <t>As an admin, I should be able to add account</t>
  </si>
  <si>
    <t>The user is on the Division Management module</t>
  </si>
  <si>
    <t>1. Login Makati WMS Account
2. Go to System Management
3. Click Division Management
4. Click the Add Button</t>
  </si>
  <si>
    <t>On the code it should be in digits/numbers will be implement and has to be limits to put the code</t>
  </si>
  <si>
    <t>As an admin, I should be able to search Division in search bar</t>
  </si>
  <si>
    <t>1. Login Makati WMS Account
2. Go to System Management
3. Click Division Management
4. Enter an existing index number in the search bar.
5. Click the Search button.</t>
  </si>
  <si>
    <t>Validate the Search using Code</t>
  </si>
  <si>
    <t>1. Login Makati WMS Account
2. Go to System Management
3. Click Division Management
4. Enter an existing code in the search bar.
5. Click the Search button.</t>
  </si>
  <si>
    <t>the admin should be able to see only the row with the matching code.</t>
  </si>
  <si>
    <t>Validate the Search using Name</t>
  </si>
  <si>
    <t>1. Login Makati WMS Account
2. Go to System Management
3. Click Division Management
4. Enter an existing name in the search bar.
5. Click the Search button.</t>
  </si>
  <si>
    <t xml:space="preserve">the admin should be able to see only the row(s) with the matching name. </t>
  </si>
  <si>
    <t>1. Login Makati WMS Account
2. Go to System Management
3. Click Division Management
4. Enter a keyword from the description field
5. Click the Search button.</t>
  </si>
  <si>
    <t>the admin should be able to see only the row(s) that contain the searched keyword in the description.</t>
  </si>
  <si>
    <t>1. Login Makati WMS Account
2. Go to System Management
3. Click Division Management
4. Enter a non-existing value in the search bar.
5. Click the Search button.</t>
  </si>
  <si>
    <t>User is on the Division Management page and has already performed a search</t>
  </si>
  <si>
    <t>1. Login Makati WMS Account
2. Go to System Management
3. Click Division Management
4. Clear the search bar (remove all text).</t>
  </si>
  <si>
    <t>As an admin, I want to filter accounts</t>
  </si>
  <si>
    <t>Verify if all the indicated accounts are being filtered</t>
  </si>
  <si>
    <t>1. Login Makati WMS Account
2. Go to System Management
3. Click Division Management
4. and Click Filter icon</t>
  </si>
  <si>
    <t>The admin should be able to filter the accounts</t>
  </si>
  <si>
    <t>As an admin, I want to verify that the pagination is working properly, ensuring that data is displayed correctly across multiple pages</t>
  </si>
  <si>
    <t>Validate if the pagination is displayed</t>
  </si>
  <si>
    <t>1. Login Makati WMS Account
2. Go to System Management
3. Click Division Management
4. Click on the "Next, previous" button</t>
  </si>
  <si>
    <t>Pagination should correctly update when filtering or searching for accounts.</t>
  </si>
  <si>
    <t>URL and Credential</t>
  </si>
  <si>
    <t>1. The admin portal is accessible through web browser.
 2. The admin account credentials are already created in the database.
 3. The login page has fields for entering a username and password.
 4. The system has validation rules for input fields (e.g., email format, password complexity).
 5. Error messages are configured to display for incorrect or missing inputs.</t>
  </si>
  <si>
    <t>Verify that a non-admin user cannot be used to log in as an admin</t>
  </si>
  <si>
    <t>1. Open the login page.
 2. Enter a regular (non-admin) user’s credentials.
 3. Click the "Log In" button.
 4. Verify that the login attempt status</t>
  </si>
  <si>
    <t>1. Open the login page.
 2. Verify that the "Log In" button is visible and easy to spot</t>
  </si>
  <si>
    <t>ADMIN DASHBOARD</t>
  </si>
  <si>
    <t>1. Navigate the dashboard
 2. Locate the announcement tab
 3. Click Add Announcement
 4. Make an announcement with or without file attachment</t>
  </si>
  <si>
    <t>1. Click Add button
 2. Enter details on necessary field e.g( Title, description, File upload)
 3. Click Publish</t>
  </si>
  <si>
    <t>1. Click Edit button
 2. Enter details on necessary field e.g( Title, description, File upload)
 3. Click update</t>
  </si>
  <si>
    <t>1. Select process flow and Guide
 2. Click Delete Button
 3. Click confirm</t>
  </si>
  <si>
    <t>1. Click Add button
 2. Enter details on necessary field e.g( Title,Link,campain poster)
 3. Click Publish</t>
  </si>
  <si>
    <t>1. Click Edit button
 2. Enter details on necessary field e.g( Title,Link,campain poster)
 3. Click Publish</t>
  </si>
  <si>
    <t>1. Select Campaign
 2. Click Delete Button
 3. Click confirm</t>
  </si>
  <si>
    <t>The campaign successfully deleted</t>
  </si>
  <si>
    <t>1. Click Add button
 2. Enter details on necessary field e.g( Title,Link,Supporting documents)
 3. Click Publish</t>
  </si>
  <si>
    <t>1. Click Edit button
 2. Enter details on necessary field e.g( Title,Link,Supporting documents)
 3. Click Publish</t>
  </si>
  <si>
    <t>1. Select Reference
 2. Click Delete Button
 3. Click confirm</t>
  </si>
  <si>
    <t>Admin user is logged into the dashboard.
 There is data that is searchable</t>
  </si>
  <si>
    <t>1.Navigate to the dashboard.
 2.Locate the search bar.
 3.Enter a valid search query that corresponds to existing data.
 4.Press the Search button or hit Enter</t>
  </si>
  <si>
    <t>1.Navigate to the dashboard.
 2.Locate the search bar.
 3.Enter a valid search query that is only a partial match to existing data.
 4.Press the Search button or hit Enter</t>
  </si>
  <si>
    <t>1. Log in to the system using valid Admin credentials.
 2. Navigate the sidebar and find Account submodule
 .</t>
  </si>
  <si>
    <t>Verify Admin can view Internal Registered account Table List Loads</t>
  </si>
  <si>
    <t>-User is already logged in as an Admin
 -Admin is already at Accounts module</t>
  </si>
  <si>
    <t>Verify that admin can view registered accounts
 (Internal)</t>
  </si>
  <si>
    <t>1.Log in to the system using valid Admin credentials.
 2.From the left sidebar menu, go to User Management.
 3.Click on the Accounts option.
 4.Select the Internal tab under Registered Accounts.</t>
  </si>
  <si>
    <t>Verify Admin can view External Registered account Table List Loads</t>
  </si>
  <si>
    <t>1. Navigate to the Accounts Module external table.
 2. Check bottom of the list for pagination controls (&gt;,&gt;&gt;,&lt;,&lt;&lt;, Page Numbers).</t>
  </si>
  <si>
    <t>1. Login as Admin.
 2. Navigate to User Management side bar and to Accounts Module.</t>
  </si>
  <si>
    <t>As an Admin I can Create, an Internal and external account</t>
  </si>
  <si>
    <t>1. Click Create Account button.
 2. Fill in all required details in Account Information and Personal Information.
 3. Choose a Role.
 4. Click Submit.</t>
  </si>
  <si>
    <t>-Account is successfully created.
 -A message appears: “Record created successfully”.
 -Admin clicks Continue.
 -Admin can verify the new account appears in the External table list.</t>
  </si>
  <si>
    <t>1. Log in to the system using valid Admin credentials.
 2. Navigate to User Management from the sidebar.
 3. Click on Accounts.
 4.Click on the Create Account button.</t>
  </si>
  <si>
    <t>1. Fill in all required fields in the Create Account form (Email, Password, Name, Birthdate, Sex, Contact Number, Address, Role).
 2.Click Submit.</t>
  </si>
  <si>
    <t>1. Click on the Import button.
 2. Upload a valid account file.
 3. Confirm the import action.</t>
  </si>
  <si>
    <t>1. Open the Create Account form.
 2. Click Close button.</t>
  </si>
  <si>
    <t>1. In the account list, select an account.
 2. Navigate to action and Click View.</t>
  </si>
  <si>
    <t>1. Select an account from the Internal list.
 2. Click Delete.
 3. Confirm deletion</t>
  </si>
  <si>
    <t>Account is removed from the Internal list.
 System shows a success confirmation message.</t>
  </si>
  <si>
    <t>As an Admin I am able to use Search and Filter function</t>
  </si>
  <si>
    <t>-User is already logged in as an Admin
 -Admin is already at User Management module</t>
  </si>
  <si>
    <t>1. Navigate the search bar
 2. Input anything in the search bar</t>
  </si>
  <si>
    <t>1. Navigate the search bar
 2. Input anything in the search bar
 3. Verify the results after searching</t>
  </si>
  <si>
    <t>-The system displays the data that matches the admin input search data
 - The system displays "No Data Found" if there is no data that matches the input data</t>
  </si>
  <si>
    <t>1. Navigate the Filter Button
 2. Click the Filter Button
 3. Input appropriate data in each fields</t>
  </si>
  <si>
    <t>-The admin can successfully input data into the required fields of the filter feature.
 -The system should display an error message when invalid data is entered.</t>
  </si>
  <si>
    <t>1. Navigate the Filter Button
 2. Click the Filter Button
 3. Input appropriate data in each fields
 4. Click "Apply"</t>
  </si>
  <si>
    <t>1.Click Filter.
 2.Apply conditions (No. of items, Role, Names, etc.).
 3.Click Apply.</t>
  </si>
  <si>
    <t>-Message: “Filter successfully applied”.
 -Admin can verify the table list updates according to filter</t>
  </si>
  <si>
    <t>1. Navigate the Filter Button
 2. Click the Filter Button
 3. Click the "Close" button</t>
  </si>
  <si>
    <t>As an Admin I can Edit Account information</t>
  </si>
  <si>
    <t>1. Open account details via View.
 2. Verify there is an Edit icon.
 3. Click Edit.
 4. Modify information and save.</t>
  </si>
  <si>
    <t>-Admin can save the updated information.
 -A confirmation message appears: “Record updated successfully”.
 -Admin can verify the edited details reflect in the table list.</t>
  </si>
  <si>
    <t>1. Verify Import button is visible.
 2. Click Import.
 3. Upload a valid file (CSV/XLS).</t>
  </si>
  <si>
    <t>-A message pops up before importing.
 -Admin can import single or bulk files.
 -On submit, a confirmation message appears: “Import successful”.
 -Admin can verify the imported records appear in the table list.</t>
  </si>
  <si>
    <t>1. Open Import modal.
 2. Click Close.</t>
  </si>
  <si>
    <t>1. Verify Export button is visible in the external page.
 2. Click Export.</t>
  </si>
  <si>
    <t>1.Click Delete button.
 2.Select an account from the list.
 3.Confirm deletion.</t>
  </si>
  <si>
    <t>-Confirmation message: “Are you sure you want to delete?”
 -Account is removed from the table list.
 -Admin can verify the deleted account no longer appears.</t>
  </si>
  <si>
    <t>1. Navigate to User Management
 2. Click "Roles"</t>
  </si>
  <si>
    <t>As an Admin I can view list of Roles</t>
  </si>
  <si>
    <t>User is logged in as Admin
 Role exist in the system</t>
  </si>
  <si>
    <t>1. Navigate to User Management
 2. Click "Roles"
 3. Check the top-right of the page</t>
  </si>
  <si>
    <t>Verify that the Admin can access the "Create
 Role" Button</t>
  </si>
  <si>
    <t>User is logged in as Admin
 User is in the User Role and Permisson Dashboard</t>
  </si>
  <si>
    <t>Create Role Tab should open, and display Role
 Title, Permission/Access Code, and the Description</t>
  </si>
  <si>
    <t>User is logged in as Admin
 User is in the User Role and Permisson Dashboard
 User is in the "Create Role" Tab</t>
  </si>
  <si>
    <t>1. Leave Role Title, Code, or Description Blank
 2. Click "Submit"</t>
  </si>
  <si>
    <t>1. Enter Role Title and Description
 2. Enter Invalid Permission/Access Code
 3. Click "Add"</t>
  </si>
  <si>
    <t>- Confirmation tab confirming the cancellation "Are you sure you want to Cancel?"
 - The Create Role Tab should close without creating a role</t>
  </si>
  <si>
    <t>- A tab showing successful Role Creation "Record Created Successfully"
 -New Role should appear in the list with correct details (Role Title, Permission/Access Code, Description, Creation Date, Number of Users, Action)</t>
  </si>
  <si>
    <t>User is logged in as Admin
 User is in the User Role and Permisson Dashboard
 A role already exist (e.g., Admin)</t>
  </si>
  <si>
    <t>- System should prevent duplicate creation
 - A tab showing "Permission denied! Role is assigned to user"</t>
  </si>
  <si>
    <t>As an Admin I'm able to delete a Role</t>
  </si>
  <si>
    <t>Verify that "Delete" button is visible</t>
  </si>
  <si>
    <t>User is logged in as Admin.
 Role exist</t>
  </si>
  <si>
    <t>1. Navigate to User Management
 2. Click "Roles"
 3. Select Role/s to be Deleted
 4. Click "Delete" Button</t>
  </si>
  <si>
    <t>- A tab confirming the deletion of the role/s "Are you sure you want to Delete?"
 - A tab showing successful record creation "Record Deeleted Successfully!"</t>
  </si>
  <si>
    <t>As an Admin I'm able to view a Role</t>
  </si>
  <si>
    <t>1. Navigate to User Management
 2. Click "Roles"
 3. Click "View" for a role</t>
  </si>
  <si>
    <t>1. Navigate to User Management
 2. Click "Roles"
 3. Click "View" button for a role</t>
  </si>
  <si>
    <t>A modal/pop-up should be displayed showing:
 - Role Title
 - Code(s)
 - Description
 - Close &amp; Submit buttons. Details should match stored role data.</t>
  </si>
  <si>
    <t>1. Navigate to User Management
 2. Click "Roles"
 3. Click "View" button
 4. Click "Close" Button</t>
  </si>
  <si>
    <t>1. Navigate to User Management
 2. Click "Roles"
 3. Click "View" button
 4. Compare displayed details with database/expected values</t>
  </si>
  <si>
    <t>1. Navigate to User Management
 2. Click "Roles"
 3. Click "View" button</t>
  </si>
  <si>
    <t>1. Navigate to User Management
 2. Click "Roles"
 3. Click "View" button
 4. Click "Submit"</t>
  </si>
  <si>
    <t>User is logged in as Admin
 User is in the User Role and Permisson Dashboard
 Role exist in the system</t>
  </si>
  <si>
    <t>1. Click "View"
 2. Click "Edit" Button</t>
  </si>
  <si>
    <t>1. Click "View"
 2. Click "Edit" Button
 3. Modify the Role Title
 4. Click "Submit"</t>
  </si>
  <si>
    <t>- A tab showing "Record Updated Successfully"
 - Role title updates successfully and reflects in the role list</t>
  </si>
  <si>
    <t>1. Click "View"
 2. Click "Edit" Button
 3. Click "X" on an assigned code
 4. Click "Submit"</t>
  </si>
  <si>
    <t>1. Click "View"
 2. Click "Edit" Button
 3. Modify the description field
 4. Click "Submit"</t>
  </si>
  <si>
    <t>1. Click "View"
 2. Click "Edit" Button
 3. Make Changes in Any Fields
 4. Click "Close"</t>
  </si>
  <si>
    <t>- Confirmation tab asking "Are you sure you want to Cancel?"
 - Changes are not saved</t>
  </si>
  <si>
    <t>- Admin user is logged in onto the system
 - Admin user can access the System Audit &amp; Log submodule on the User Management tab</t>
  </si>
  <si>
    <t>1.) Log in on the system using correct credentials
 2.) Navigate to the User Management module
 3.) Click System Audit &amp; Log
 4.) Observe the table</t>
  </si>
  <si>
    <t>1.) Click on the Search tab from the System Auditing and Logging table
 2.) Type a valid ID Number (e.g., #001) into the search bar.
 3.) Click the Search button.
 4.) Check the results displayed below.</t>
  </si>
  <si>
    <t>1.) The system should return the matching record for the entered ID Number.
 2.) If the ID exists, the correct record should appear.
 3.) If the ID does not exist, a “No results found” message should be shown.
 4.) The search should work quickly and without any errors.</t>
  </si>
  <si>
    <t>1. Click the filter feature.
 2. Pick what you want to filter by (like date or status).
 3. Click the apply button and check if the right results show up</t>
  </si>
  <si>
    <t>1.) Go to the System Auditing and Logging table.
 2.) Scroll to the bottom of the table and locate the pagination controls (like page number and arrows).
 3.) Click the arrow (&gt;) to go to the next page of the table.
 4.) Verify the table updates to show the next set of records.
 5.) Click the Previous arrow (&lt;) to go back to the previous page.
 6.) Check if the table data updates accordingly each time.</t>
  </si>
  <si>
    <t>1.) The pagination controls should be visible and easy to use.
 2.) Clicking “Next ()” or “Previous (&lt;)” should update the table with the correct records.
 3.) The number of records shown per page should match the selected setting.
 4.) The table should not display duplicate or missing entries across pages.
 5.) Pagination should work smoothly without errors or delays.</t>
  </si>
  <si>
    <t>-Admin can verify that each record in the table shows a status column.
 -Status should be clearly displayed as Active or Inactive for each entry.</t>
  </si>
  <si>
    <t>Verify Admin can access Survey under User Managment</t>
  </si>
  <si>
    <t>User is logged in as Admin
 User has accessed the Customer Satisfactory Survey</t>
  </si>
  <si>
    <t>1. Navigate the Dashboard of the Customer Satisfactory Survey
 2. Verify the Survey's functionality</t>
  </si>
  <si>
    <t>1. Navigate the Dashboard of the Customer Satisfactory Survey
 2. Verify the Survey's functionality
 3. Checking of the features uploaded and visibility</t>
  </si>
  <si>
    <t>Verify that the Survey Response Completion rate is visible</t>
  </si>
  <si>
    <t>As an Admin I can view the survey table</t>
  </si>
  <si>
    <t>Verify Admin able to view Servey response table</t>
  </si>
  <si>
    <t>Verify that the pagination works In Servey response table</t>
  </si>
  <si>
    <t>As an Admin I can view survey responses</t>
  </si>
  <si>
    <t>Verify Admin can view Survey Responses</t>
  </si>
  <si>
    <t>Admin able to view Survey responses</t>
  </si>
  <si>
    <t>-Admin is Logged in
 -navigated to waste collection module</t>
  </si>
  <si>
    <t>1. Login as Admin.
 2. Navigate to Transaction → Collection Waste Module.</t>
  </si>
  <si>
    <t>Admin successfully logs in and accesses the Collection Waste Module.</t>
  </si>
  <si>
    <t>1. Access the Waste Collection Module.
 2. Observe the Dashboard section.</t>
  </si>
  <si>
    <t>1. Go to the Dashboard.
 2. Locate the Collection Completion Rate Over Time section.</t>
  </si>
  <si>
    <t>As an Admin I can manage and monitor Garbage Collection And Disposal Requests</t>
  </si>
  <si>
    <t>1. On the Dashboard, click Garbage Collection &amp; Disposal.
 2. View the list of requests.</t>
  </si>
  <si>
    <t>Verify admin can manage and monitor Barangay Module</t>
  </si>
  <si>
    <t>1. On the Dashboard, click Barangay.
 2. View the table list of Barangay records.</t>
  </si>
  <si>
    <t>Verify admin can manage and monitor Garbage Truck Violation Issuance requests</t>
  </si>
  <si>
    <t>1. On the Dashboard, click Garbage Truck Violation Issuance.
 2. View the list of violation requests.</t>
  </si>
  <si>
    <t>Verify filter function works for Waste Collection
 Schedule table</t>
  </si>
  <si>
    <t>As an Admin I can view Garbage Collection and Disposal Request Table</t>
  </si>
  <si>
    <t>Verify Admin can view Garbage Collection and Disposal Request Table</t>
  </si>
  <si>
    <t>As an Admin I can Add/Submit Garbage Collection and Disposal Request</t>
  </si>
  <si>
    <t>1. Click "Add" button in GCDR section
 2. Leave all the required fields empty or leave at least one (1)
 empty
 3. Click "Submit"</t>
  </si>
  <si>
    <t>1. Click "Add" button in GCDR section
 2. Click one (1) Request Type and Select another one</t>
  </si>
  <si>
    <t>1. Click "Add" button in GCDR section
 2. Supply all the Required Field/s or Any Field/s in the
 GCDR Add tab
 3. Click "Close"</t>
  </si>
  <si>
    <t>- Logged in as an Admin
 - Admin has access rights to
 Mission Orders and Inspection Reports</t>
  </si>
  <si>
    <t>- Logged in as an Admin
 - More than 10 mission orders exist</t>
  </si>
  <si>
    <t>1. Scroll to the bottom of the page
 2. Click “Next” page</t>
  </si>
  <si>
    <t>As an Admin I can use Filter function in Mission orders</t>
  </si>
  <si>
    <t>- Logged in as an Admin
 - Admin has access to Mission Orders
 and Inspection Reports</t>
  </si>
  <si>
    <t>1. Click the “Filter” button
 2. Apply a filter (e.g., Process Type = Inspection)
 3. Click “Apply”</t>
  </si>
  <si>
    <t>Verify that the Admin can Add a Mission orders and Inspection Reports</t>
  </si>
  <si>
    <t>1. Click the “Add” button
 2. Leave one or more required fields empty
 3. Click “Submit”</t>
  </si>
  <si>
    <t>- A validation message should appear
 - Mission Order should not be saved</t>
  </si>
  <si>
    <t>1. Open Add form
 2. Leave required fields blank
 3. Click Submit</t>
  </si>
  <si>
    <t>- Validation error messages appear
 - Mission Order is not created</t>
  </si>
  <si>
    <t>1. Open Add form
 2. Click Choose File and upload file
 3. Submit form</t>
  </si>
  <si>
    <t>- File uploads successfully
 - File name/preview is displayed</t>
  </si>
  <si>
    <t>As an Admin I can Delete a Mission orders and Inspection Reports</t>
  </si>
  <si>
    <t>- Logged in as an Admin
 - At least one mission order exists</t>
  </si>
  <si>
    <t>1. Select a mission order using the checkbox
 2. Click the “Delete” button
 3. Confirm deletion</t>
  </si>
  <si>
    <t>- Mission order is removed from the list
 - Success message is displayed</t>
  </si>
  <si>
    <t>- Logged in as an Admin
 - At least two mission orders exist</t>
  </si>
  <si>
    <t>- Admin is logged in
 - Admin is on Garbage Collection &amp;
 Disposal module</t>
  </si>
  <si>
    <t>1. Navigate to Garbage Collection &amp; Disposal
 2. Verify table with records is displayed</t>
  </si>
  <si>
    <t>Verify Admin pagination controls work properly the table Datu basurero pang araw-araw na report sa koleksyon</t>
  </si>
  <si>
    <t>1. Navigate to the table
 2. Click pagination controls (Next, Previous, page number)</t>
  </si>
  <si>
    <t>1. Enter a keyword (e.g., Driver Name / Plate No.) in
 search bar
 2. Press search icon</t>
  </si>
  <si>
    <t>As an Admin I can use filters to refine records in "Datu basurero pang araw-araw na report sa koleksyon"</t>
  </si>
  <si>
    <t>Verify Admin can use filters to refine records in "Datu basurero pang araw-araw na report sa koleksyon"</t>
  </si>
  <si>
    <t>1. Click Filter
 2. Enter criteria (e.g., Date range, Barangay, Truck type)
 3. Click Apply</t>
  </si>
  <si>
    <t>Table updates to show only records that match
 filter criteria</t>
  </si>
  <si>
    <t>1. Click Add
 2. Fill in required fields (Date, Time, Barangay, Driver, etc.)
 3. (Optional) Upload supporting documents
 4. Save</t>
  </si>
  <si>
    <t>New record is saved and appears in the Waste
 Collection - "Datu Basurero Pang Araw-araw na
 Report sa Koleksyon" table</t>
  </si>
  <si>
    <t>1. Select one/multiple records via checkbox
 2. Click Delete button
 3. Confirm deletion</t>
  </si>
  <si>
    <t>Selected records are removed from the table and
 success message is shown</t>
  </si>
  <si>
    <t>As an Admin I can view Waste Collection Schedule Table List</t>
  </si>
  <si>
    <t>As an Admin I can add Waste Collection Schedule</t>
  </si>
  <si>
    <t>1. Add button.
 2. Fill in the form details.
 3. Click Create Route Schedule.
 4. Select Status.
 5. Click Submit.</t>
  </si>
  <si>
    <t>Verify admin can create a new route from the Add form</t>
  </si>
  <si>
    <t>1. On the Add Schedule form, click Create Route.
 2. Fill in new route details (Barangay, Kalye, and Time).
 3. Click Submit or Cancel.</t>
  </si>
  <si>
    <t>As an Admin I can use the search function to find information in Waste Collection Schedule table</t>
  </si>
  <si>
    <t>As an Admin I can use the filter function to filter information in Waste Collection Schedule table</t>
  </si>
  <si>
    <t>As an Admin I can use the delete function to delete record in Waste Collection Schedule table</t>
  </si>
  <si>
    <t>Verify admin can delete Waste Collection Schedule</t>
  </si>
  <si>
    <t>1. Select a schedule from the table.
 2. Click the Delete button.
 3. Confirm deletion.</t>
  </si>
  <si>
    <t>TRANSACTION MODULE: ADMIN WASTE COLLECTION: SCHEDULE</t>
  </si>
  <si>
    <t>Verify admin can filter schedules using filter options</t>
  </si>
  <si>
    <t>1. Go to waste Collection schedule.
 2. Click the import button.
 3.Select File.
 4. Click import</t>
  </si>
  <si>
    <t>Verify that the admin can navigate to Barangay
 Module under Transactions on the sidebar</t>
  </si>
  <si>
    <t>- Admin is logged in
 - Barangay module is accessible</t>
  </si>
  <si>
    <t>1. Log in as admin
 2. Click Transactions on the sidebar
 3. Select Barangay Module</t>
  </si>
  <si>
    <t>As an Admin I can view Bulky Waste Table in Barangay module</t>
  </si>
  <si>
    <t>Verify admin can view Bulky Waste Table</t>
  </si>
  <si>
    <t>Verify pagination works properly on Bulky Waste Table</t>
  </si>
  <si>
    <t>As an Admin I can add new Barangay
 Waste Collection Request Bulky Waste</t>
  </si>
  <si>
    <t>Verify that the admin can add a new Barangay
 Waste Collection Request Bulky Waste</t>
  </si>
  <si>
    <t>1. Click the Select Barangay Field
 2. Click the Dropdown arrow to view the list of barangays
 3. Select a Barangay from the list</t>
  </si>
  <si>
    <t>Verify admin can use Search Function</t>
  </si>
  <si>
    <t>Verify admin can use Filter Function</t>
  </si>
  <si>
    <t>Verify admin can use Import Function</t>
  </si>
  <si>
    <t>Verify that admin can delete Bulky Waste Request</t>
  </si>
  <si>
    <t>As an Admin I can view the Fire Waste Table in the Barangay Module</t>
  </si>
  <si>
    <t>Verify that Admin Can View Fire Waste table</t>
  </si>
  <si>
    <t>1. Navigate to Barangay Module
 2. Click Fire Waste tab</t>
  </si>
  <si>
    <t>The system displays correct and updated fire
 waste request data.</t>
  </si>
  <si>
    <t>1. Navigate to Fire Waste tab
 2. Enter valid keywords in the search bar
 3. Press Enter/Search</t>
  </si>
  <si>
    <t>1. Click the Filter button
 2. Input a valid data in the violation filter</t>
  </si>
  <si>
    <t>Verify that the system successfully imports valid
 data files into the Fire Waste Request Table</t>
  </si>
  <si>
    <t>The system validates and imports records
 successfully.</t>
  </si>
  <si>
    <t>Verify that the admin can add a new Barangay Waste Collection Request</t>
  </si>
  <si>
    <t>The system successfully saves and displays the new
 Barangay Waste Collection Request in the list.</t>
  </si>
  <si>
    <t>Verify that the system prevents submission when required fields are missing</t>
  </si>
  <si>
    <t>1. Click on Add
 2. Leave one or more required fields blank (e.g., Barangay,
 Contact Number)
 3. Click Submit</t>
  </si>
  <si>
    <t>The system displays a validation error message and
 prevents submission.</t>
  </si>
  <si>
    <t>Verify that the system allows submission when all mandatory fields are filled</t>
  </si>
  <si>
    <t>1. Fill out all required fields correctly
 2. Click Submit</t>
  </si>
  <si>
    <t>Verify that the system allows the admin to select and delete an existing Fire Waste request</t>
  </si>
  <si>
    <t>1. Select a record in the table
 2. Click Delete
 3. Confirm deletion</t>
  </si>
  <si>
    <t>The selected bulky waste request record is deleted
 from the table</t>
  </si>
  <si>
    <t>As an Admin I can view the Construction Debris Table in Barangay module</t>
  </si>
  <si>
    <t>Verify that the Construction Debris table</t>
  </si>
  <si>
    <t>1. Navigate to Barangay
 2. Click Construction Debris</t>
  </si>
  <si>
    <t>-The system displays accurate data based on the search data provided by the admin
 - If there are no data that matches the search data, the list should display ""No Data Found"""</t>
  </si>
  <si>
    <t>1. Click the Filter button
 2. Input a valid data in the violation filter
 3. Click the Apply button
 4. Verify the displayed results</t>
  </si>
  <si>
    <t>Verify that the system successfully imports valid
 data files into the Construction Debris Request Table</t>
  </si>
  <si>
    <t>1. Click the Import button
 2. Select a valid import file
 3. Confirm the upload</t>
  </si>
  <si>
    <t>- The system successfully imports and displays new
 data in the table</t>
  </si>
  <si>
    <t>Verify that the system prevents submission when
 required fields are missing</t>
  </si>
  <si>
    <t>- The system displays a validation error message and
 prevents submission.</t>
  </si>
  <si>
    <t>Verify that the system allows the admin to select
 and delete an existing Construction Debris waste request record</t>
  </si>
  <si>
    <t>As an admin, I can view Tree Cutting Table</t>
  </si>
  <si>
    <t>Verify that the Tree Cutting table</t>
  </si>
  <si>
    <t>1. Log in as Applicant
 2. Click Dashboard
 3. Navigate to Barangay module</t>
  </si>
  <si>
    <t>As an admin, I can use the Filter function in Tree cutting.</t>
  </si>
  <si>
    <t>Verify that the admin can use filter function</t>
  </si>
  <si>
    <t>As an admin, I use search function</t>
  </si>
  <si>
    <t>Verify that the admin can iuse search function</t>
  </si>
  <si>
    <t>As an admin, I can use import function</t>
  </si>
  <si>
    <t>Verify Admin can use the import function</t>
  </si>
  <si>
    <t>As an Admin I can add a request form in Tree cutting table</t>
  </si>
  <si>
    <t>Verify that the admin can add a request in Tree cutting table</t>
  </si>
  <si>
    <t>As an admin, I want to select and delete an existing "Tree Cutting" waste request so I can remove incorrect or unwanted records from the system.</t>
  </si>
  <si>
    <t>Verify that the system allows the admin to select
 and delete an existing Tree Cutting waste request record</t>
  </si>
  <si>
    <t>Verify Admin able to view Hazardous Waste Table</t>
  </si>
  <si>
    <t>1. Navigate to Barangay
 2. Click Hazardous tab</t>
  </si>
  <si>
    <t>Hazardous request table is displayed with correct
 and accurate data</t>
  </si>
  <si>
    <t>Verify that the admin can use search function</t>
  </si>
  <si>
    <t>Verify that the filter function works in Hazardous request table</t>
  </si>
  <si>
    <t>Verify admin can use import Function in Hazardous request table</t>
  </si>
  <si>
    <t>-Admin is logged in
 - Barangay module is accessible
 -Navigated to Hazardous Waste Management Tab</t>
  </si>
  <si>
    <t>1.Go to the Hazardous tab .
 2. Click Import Button.
 3.Upload any valid document file.</t>
  </si>
  <si>
    <t>Verify admin can add a Hazardous Request</t>
  </si>
  <si>
    <t>1.Click Add button .
 2.The Add Form should display.</t>
  </si>
  <si>
    <t>Verify admin can use delete function inHazardous Request table</t>
  </si>
  <si>
    <t>Verify admin can view the request form</t>
  </si>
  <si>
    <t>1. Navigate to the Hazardous Tab.
 2. Select a request from the table list.
 3. Click the View icon.</t>
  </si>
  <si>
    <t>Verify pagination works properly on Hazardous Requests Table</t>
  </si>
  <si>
    <t>1. Navigate to the Hazardous Requests Table List.
 2. Use pagination controls (&gt;, &gt;&gt;, &lt;, &lt;&lt;, Page Numbers).</t>
  </si>
  <si>
    <t>Verify admin can view Household Waste Table</t>
  </si>
  <si>
    <t>1. Navigate to Barangay
 2. Click Household Waste tab</t>
  </si>
  <si>
    <t>Household Waste request table is displayed with correct
 and accurate data</t>
  </si>
  <si>
    <t>Verify admin can use import function in Household Waste</t>
  </si>
  <si>
    <t>-Admin is logged in
 - Barangay module is accessible
 -Navigated to Household Waste Collection Tab</t>
  </si>
  <si>
    <t>1.Go to the Household Waste Collection tab .
 2. Click Import Button.
 3.Upload any valid document file.</t>
  </si>
  <si>
    <t>Verify admin can add request in Household Waste table</t>
  </si>
  <si>
    <t>Verify admin can delete a selected Hazardous Request</t>
  </si>
  <si>
    <t>Verify pagination works properly on Household Waste Requests Table</t>
  </si>
  <si>
    <t>1. Navigate to the Household Wastes Table List.
 2. Use pagination controls (&gt;, &gt;&gt;, &lt;, &lt;&lt;, Page Numbers).</t>
  </si>
  <si>
    <t>1. Click the Garbage Truck Violations Issuance module under Transactions
 2. Verify the list displayed in the module</t>
  </si>
  <si>
    <t>-User is already logged in as an Admin
 - User is already at Garbage Truck Violation Issuance module</t>
  </si>
  <si>
    <t>-The system displays accurate data based on the search data provided by the admin
 - If there are no data that matches the search data, the list should display "No Data Found"</t>
  </si>
  <si>
    <t>1. Click the Manual Violation Entry button
 2. Click Submit without filling out the required fields</t>
  </si>
  <si>
    <t>1. Click the Manual Violation Entry button
 2. Input valid data inside the fields
 3. Click Choose File button
 4. Choose a valid file document from your PC/Laptop</t>
  </si>
  <si>
    <t>- The admin can successfully upload a valid file document
 - The system should display an error message if the file document is invalid</t>
  </si>
  <si>
    <t>1. Click the Manual Violation Entry button
 2. Input valid data inside the fields
 3. Clicl Submit
 4. Verify the list of Garbage Truck Violations</t>
  </si>
  <si>
    <t>Verify Admin user can use the import function to be uploaded to the Garbage Truck Violations table</t>
  </si>
  <si>
    <t>TRANSACTION MODULE: ENVIRONMENTAL CLERANCE</t>
  </si>
  <si>
    <t>TRANSACTION MODULE: ENVIRONMENTAL CLERANCE: DASHBOARD</t>
  </si>
  <si>
    <t>TRANSACTION MODULE: ENVIRONMENTAL CLERANCE: GREENHOUSE GAS BUSSINESS ISSUANCE</t>
  </si>
  <si>
    <t>Verify Admin can view the tables in the Greenhouse Gas Certificate Inssuances for Business Estabilshment</t>
  </si>
  <si>
    <t>Verify Admin can submit a GHG inventory report for Business Establishment</t>
  </si>
  <si>
    <t>Admin user is able to submit a GHG inventory report for Business Establishment</t>
  </si>
  <si>
    <t>Verify that the admin can view a Form in GHG Business Establishment section inventory report</t>
  </si>
  <si>
    <t>1.Click on the Business Establishment table.
 2.Click kebab symbol in action colum
 3.Click the View button
 4.Change some details.
 5.Click the Save button.
 6.Check if the changes are updated in the report.</t>
  </si>
  <si>
    <t>1.The admin can view the full inventory report.</t>
  </si>
  <si>
    <t>Verify that the admin can edit the Inventory Report FormGHG Business Establishment section inventory report</t>
  </si>
  <si>
    <t>1.Click on the Business Establishment table.
 2.Click kebab symbol in action colum
 3.Click the Edit button
 4.Change some details.
 5.Click the Save button.
 6.Check if the changes are updated in the report.</t>
  </si>
  <si>
    <t>1.The admin can edit the inventory report.
 2. Changes are saved successfully and updated in the report.</t>
  </si>
  <si>
    <t>1.Select the Application Reports tab.
 2.Click the Export button.
 3.Choose the file format (e.g., PDF, Excel).
 4.Check if the report is downloaded successfully.</t>
  </si>
  <si>
    <t>1.The application report should be exported in the selected format.
 2.The downloaded file should contain accurate and complete report data.</t>
  </si>
  <si>
    <t>1. Click the filter feature.
 2. Pick what you want to filter by (like date or status).
 3. Click the apply button and check if the right results show up.</t>
  </si>
  <si>
    <t>1.Click on the Search tab from the Business Establishment table.
 2.Type a valid ID Number (e.g., #12345) into the search bar.
 3.Click the Search button.
 4.Check the results displayed below.</t>
  </si>
  <si>
    <t>1.The system should return the matching record for the entered ID Number.
 2.If the ID exists, the correct record should appear.
 3.If the ID does not exist, a “No results found” message should be shown.
 4.The search should work quickly and without any errors.</t>
  </si>
  <si>
    <t>1.Go to the Business Establishment table page.
 2. Scroll to the bottom of the table and locate the pagination controls (like page number and arrows).
 3.Click the arrow (&gt;) to go to the next page of the table.
 4.Verify the table updates to show the next set of records.
 5.Click the Previous arrow (&lt;) to go back to the previous page.
 6.Check if the table data updates accordingly each time.</t>
  </si>
  <si>
    <t>1.The pagination controls should be visible and easy to use.
 2. Clicking “Next ()” or “Previous (&lt;)” should update the table with the correct records.
 3.The number of records shown per page should match the selected setting.
 4.The table should not display duplicate or missing entries across pages.
 5.Pagination should work smoothly without errors or delays.</t>
  </si>
  <si>
    <t>TRANSACTION MODULE: ENVIRONMENTAL CLERANCE: GREENHOUSE GAS TRICYCLE OPERATOR</t>
  </si>
  <si>
    <t>1.Log in to the system using valid admin credentials.
 2.Navigate to the Environmental Clearance submodule from the main menu/dashboard.
 3.Locate and click on the GHG (Greenhouse Gas) submodule.
 4.In the GHG section, find the Tricycle Operator table.
 5.Click on the Tricycle Operator option to open the table.
 6.Verify that the Tricycle Operator table loads successfully and is displayed to the admin.
 7.Confirm that there are no errors or access restrictions preventing the admin from viewing the table.</t>
  </si>
  <si>
    <t>1.The admin user is successfully able to view the Tricycle Operator table under the GHG section without any errors.
 2.Table structure and data are visible and accessible.</t>
  </si>
  <si>
    <t>1.Go to Environmental Clearance &gt; GHG section
 2.Open Tricycle Operator table
 3.Click “Add”
 4.Fill in required fields
 5.Click “Submit”
 6.Verify that the new entry appears in the table</t>
  </si>
  <si>
    <t>Verify that the admin can view the Inventory Report Form in the GHG Tricycle Operator section</t>
  </si>
  <si>
    <t>1.The Inventory Report Form loads successfully
 2.All relevant report details are visible to the admin
 3.No access errors or missing data</t>
  </si>
  <si>
    <t>Verify that the admin can edit the Inventory Report Form in the GHG Tricycle Operator section</t>
  </si>
  <si>
    <t>-Admin is logged into the system
 -Admin has access to the Environmental Clearance submodule and GHG section
 -Admin has permission to edit reports</t>
  </si>
  <si>
    <t>1.Open the Tricycle Operator table
 2.Click the "Edit" button or icon beside the report
 3.Modify one or more fields in the form
 4.Click "Submit."
 5.Verify that the changes are saved and reflected in the report</t>
  </si>
  <si>
    <t>1.Admin can open the report in edit mode
 2.Changes are successfully saved
 3.Updated data is displayed correctly without errors</t>
  </si>
  <si>
    <t>-Admin is logged into the system
 -Admin has access to the Environmental Clearance submodule and GHG section
 -At least one Inventory Report exists
 -Admin has permission to update report status</t>
  </si>
  <si>
    <t>1.Admin is able to successfully change the report status
 2.The new status is saved and reflected in the Inventory Report
 3.A success message or confirmation is displayed</t>
  </si>
  <si>
    <t>-Admin is logged into the system
 -Admin has access to the Environmental Clearance submodule and GHG section
 -An inventory report or record is available for certificate issuance
 -Admin has permission to confirm issuance</t>
  </si>
  <si>
    <t>1.Open the Tricycle Operator table
 2.Select a record that is eligible for issuance
 3.Click the "Confirm Issuance" button
 4.The Issuance Form appears
 5.Fill in the required fields
 6.Click "Submit"
 7.Verify that the issuance is confirmed and a success message appears</t>
  </si>
  <si>
    <t>1.Issuance Form is displayed after clicking Confirm Issuance
 2.Form is submitted successfully without errors
 3.Certificate status is updated, and confirmation message is shown</t>
  </si>
  <si>
    <t>Verify that the admin can delete an inventory report from the Tricycle Operator table</t>
  </si>
  <si>
    <t>-Admin is logged into the system
 -Admin has access to the Environmental Clearance submodule and GHG section
 -At least one inventory report exists in the Tricycle Operator table
 -Admin has permission to delete records</t>
  </si>
  <si>
    <t>1.The selected inventory report is successfully deleted
 2.A confirmation message appears
 3.The deleted entry no longer appears in the table</t>
  </si>
  <si>
    <t>TRANSACTION MODULE: ENVIRONMENTAL CLERANCE: NOISE POLLUTION COMPLIANCE CERTIFICATE</t>
  </si>
  <si>
    <t>Verify that the admin can view the Noise Pollution Compliance Certificate table with all current reports and available features</t>
  </si>
  <si>
    <t>1. Navigate to Environmental Clearance to Noise Pollution Compliance Certificate section
 2. Observe the display of the table
 3. Confirm that current reports are listed</t>
  </si>
  <si>
    <t>1. Admin can see the full Noise Pollution Compliance Certificate table
 2. All existing reports are listed correctly
 3. Admin can access related features like search, filter, pagination, and actions for each report
 4. No access or permission errors appear</t>
  </si>
  <si>
    <t>1. Click on the filter icon
 2. Select one or more filter options (e.g., status, date)
 3. Apply the filter</t>
  </si>
  <si>
    <t>1. Click the “Add” button
 2. Fill in all required fields
 3. Click "Submit"</t>
  </si>
  <si>
    <t>1. Click on the “Export” button
 2. Select export format (e.g., Excel or PDF)</t>
  </si>
  <si>
    <t>Verify that the admin can delete an Inspection Request Form</t>
  </si>
  <si>
    <t>1. Click the “Delete” icon
 2. Select request
 3. Confirm deletion in the pop-up</t>
  </si>
  <si>
    <t>Verify that the admin can view an Inspection Request Form</t>
  </si>
  <si>
    <t>Verify that the admin can edit an Inspection Request Form</t>
  </si>
  <si>
    <t>1. Click the “Edit” icon in the request form
 2. Modify fields
 3. Click “Submit”</t>
  </si>
  <si>
    <t>1. Changes are saved
 2. It should be reflected in the table</t>
  </si>
  <si>
    <t>1.Go to the NPCC page.
 2. Scroll to the bottom of the table and locate the pagination controls (like page number and arrows).
 3.Click the arrow (&gt;) to go to the next page of the table.
 4.Verify the table updates to show the next set of records.
 5.Click the Previous arrow (&lt;) to go back to the previous page.
 6.Check if the table data updates accordingly each time.</t>
  </si>
  <si>
    <t>TRANSACTION MODULE: ENVIRONMENTAL CLERANCE: REQUEST FOR OTHER SERVICES</t>
  </si>
  <si>
    <t>Verify that the admin can access the Request for Other Services page under Environmental Clearance</t>
  </si>
  <si>
    <t>-Admin is logged into the system
 -Admin has access to the Environmental Clearance submodule</t>
  </si>
  <si>
    <t>1. From the dashboard of Environmental Clearance
 2. Click on Request for Inspection Submodule</t>
  </si>
  <si>
    <t>-Admin is successfully directed to the Request for Inspection page
 -Page loads without errors and displays table of existing requests</t>
  </si>
  <si>
    <t>Verify that the admin can view Other Services Request Table</t>
  </si>
  <si>
    <t>1. Observe the content of the list/table
 2. Confirm columns are visible (Index Number, Mission Order, Name, Contact Number, Application Type, Service Type, Data Files, Date of Violation )</t>
  </si>
  <si>
    <t>Verify that the admin can add a new Request for Other Services</t>
  </si>
  <si>
    <t>Verify that the admin can upload a document when submitting a Request for Other Services form</t>
  </si>
  <si>
    <t>1. Click "Add" and select Request/Complaint
 2. Fill out form and click Upload
 3. Select a valid file (e.g., PDF, DOCX, JPG)
 4. Submit the form</t>
  </si>
  <si>
    <t>-File is uploaded successfully
 -No error upon uploading file</t>
  </si>
  <si>
    <t>Verify that the admin can delete a Request for Other Services</t>
  </si>
  <si>
    <t>Verify that the admin can search for specific Request using the search bar</t>
  </si>
  <si>
    <t>1.Enter a keyword (e.g., name, ID) in the search bar
 2.Press Enter or click the search icon</t>
  </si>
  <si>
    <t>1.Click on Filter button
 2.Choose desired filter options
 3.Click Apply</t>
  </si>
  <si>
    <t>-List updates to reflect selected filter criteria
 -Active filters are displayed clearly</t>
  </si>
  <si>
    <t>Verify that the admin can change the status of a Request for Other Services form</t>
  </si>
  <si>
    <t>1.Locate a request in the list
 2.Click edit
 3.Click the Status and dropdown below the form
 4.Choose a new status (e.g., Under Review, Complete, Rejected)
 5.Click Submit</t>
  </si>
  <si>
    <t>-Status is updated successfully
 -New status is displayed in the status column</t>
  </si>
  <si>
    <t>Verify that pagination is functioning correctly on the Request for Other Services table</t>
  </si>
  <si>
    <t>Verify that the admin can view Violation Ticket Issuance Table</t>
  </si>
  <si>
    <t>Verify that admin can add Manual
 Violation Entry</t>
  </si>
  <si>
    <t>Verify that admin can use the delete
 violator</t>
  </si>
  <si>
    <t>Ensure that the filter feature displays the correct data based on the selected criteria</t>
  </si>
  <si>
    <t>- All pagination buttons are
 clickable
 - “&gt;” and “&lt;” navigate to the
 next/previous page
 - “&gt;&gt;” and “&lt;&lt;” navigate to the
 last/first page
 - Each page displays accurate &amp;
 expected mission order data</t>
  </si>
  <si>
    <t>Verify Landing page loads successfully</t>
  </si>
  <si>
    <t>Verify User can navigate between banner slides using (“&gt;”, “&lt;”, “&gt;&gt;”, “&lt;&lt;”) arrows</t>
  </si>
  <si>
    <t>User is able to navigate to the Landing page</t>
  </si>
  <si>
    <t>The right arrow " &gt; " moves to the next banner slide, and the left arrow " &lt; " returns to the previous one.</t>
  </si>
  <si>
    <t>Verify User is able to view Annoncements and Events</t>
  </si>
  <si>
    <t>User is able to view the announcement and event</t>
  </si>
  <si>
    <t>User is able to view a list of all Announcement and Events</t>
  </si>
  <si>
    <t>Verify that pagination buttons function correctly in Announcement and Events</t>
  </si>
  <si>
    <t>User is able to see the list updates according to the selected page number, and pagination indicators change accordingly.</t>
  </si>
  <si>
    <t>Verify that the user can click the View icon or button in the Announcements &amp; Events tab</t>
  </si>
  <si>
    <t>User can successfully read or view the complete announcement information.</t>
  </si>
  <si>
    <t>Verify User is able to view Step by step Guide</t>
  </si>
  <si>
    <t>User is able to select and view desired step by step guide</t>
  </si>
  <si>
    <t>Verify that each tab (“GHG Certificate,” “Services,” “Inspection”) is clickable</t>
  </si>
  <si>
    <t>User is able to click each tab and view its corresponding guide content.</t>
  </si>
  <si>
    <t>Verify User is able to Apply for GHG Certificate</t>
  </si>
  <si>
    <t>1. Scroll to Apply for GHG Certificate
 2. Click Arrow facing right</t>
  </si>
  <si>
    <t>User will be prompted to Login to user accout or create an account</t>
  </si>
  <si>
    <t>Verify User is able to Request for Services</t>
  </si>
  <si>
    <t>Verify User is able to view Process Flow</t>
  </si>
  <si>
    <t>User is able to view all the contents in Process Flow</t>
  </si>
  <si>
    <t>Verify User is able to view the Waste collection Schedule table</t>
  </si>
  <si>
    <t>1. Scroll to Waste Collection Schedule</t>
  </si>
  <si>
    <t>User can see Waste Collection Schedule table layout and column headers are correctly displayed and readable</t>
  </si>
  <si>
    <t>Verify User is able to go to main page of Waste Collection</t>
  </si>
  <si>
    <t>- All pagination buttons are clickable - “&gt;” and “&lt;” navigate to the next/previous page - “&gt;&gt;” and “&lt;&lt;” navigate to the last/first page
 - Each page displays accurate and expected Waste collection Schedule table data</t>
  </si>
  <si>
    <t>Verify User is able to view Campaings</t>
  </si>
  <si>
    <t>1. Scroll to Campaings</t>
  </si>
  <si>
    <t>User is able to view Campaings</t>
  </si>
  <si>
    <t>Verify User is able to click hyperlink in Reference</t>
  </si>
  <si>
    <t>User is able to open the hyperlink in Reference</t>
  </si>
  <si>
    <t>Verify User is able to click Download button to download selected file in Reference</t>
  </si>
  <si>
    <t>User is able to open the download file in Reference</t>
  </si>
  <si>
    <t>Verify that the user can successfully fill out and submit the Applicant Satisfaction Survey Form</t>
  </si>
  <si>
    <t>User is in the Applicant Survey Form Tab</t>
  </si>
  <si>
    <t>The applicant successfully logs in and is redirected to the dashboard.</t>
  </si>
  <si>
    <t>The system displays an error message: "Incorrect email or password"</t>
  </si>
  <si>
    <t>Verify that the Log In button is clearly visible and easy to spot</t>
  </si>
  <si>
    <t>The system should successfully register your account, allowing you to login with your new account.</t>
  </si>
  <si>
    <t>Verify that the applicant enters all required information correctly and does not leave any fields blank.</t>
  </si>
  <si>
    <t>The system displays an error message: "Please fill in all fields correctly"</t>
  </si>
  <si>
    <t>Verify that the email entered have proper format that contains "@" and ".com"</t>
  </si>
  <si>
    <t>1. Click the "Show Attachments"
 2. Click the "attachment"</t>
  </si>
  <si>
    <t>User should see the attachment or image</t>
  </si>
  <si>
    <t>1. Click the "&gt;" button
 2. Click the "&lt;" button</t>
  </si>
  <si>
    <t>1. Click the "&gt;" button
 2. Verify if it goes to the next page</t>
  </si>
  <si>
    <t>1. Click the "&gt;" button
 2. Verify if it goes to the next page
 3. Click the "&lt;" button
 4. Verify if it goes to previous page</t>
  </si>
  <si>
    <t>1. Click the "&gt;&gt;" button
 2. Verify if it goes to the last page</t>
  </si>
  <si>
    <t>1. Click the "&gt;&gt;" button
 2. Verify if it goes to the last page
 3. Click the "&lt;&lt;" button
 4. Verify if it goes to the first page</t>
  </si>
  <si>
    <t>The correct information should show based on the data inputted
 by the users</t>
  </si>
  <si>
    <t>Verify that the applicant can view Garbage Collection and Disposal Request Table</t>
  </si>
  <si>
    <t>1. Applicant is logged in and in waste collection module.
 2. Go to the Garbage &amp; Disposal Requests section.
 3. View the table list.</t>
  </si>
  <si>
    <t>1. Go to the Garbage &amp; Disposal Requests page.
 2. Click the pagination controls (&lt;&lt;, &lt; and &gt;, &gt;&gt;).</t>
  </si>
  <si>
    <t>Verify that the applicant can see the waste collection schedule in the Waste Collection module.</t>
  </si>
  <si>
    <t>1. Go to Waste Collection module.
 2. Scroll and View the schedule list.</t>
  </si>
  <si>
    <t>Verify that Waste Collection Schedule table is
 visible and contains correct data</t>
  </si>
  <si>
    <t>1. Navigate to Waste Collection page
 2. Scroll to Waste Collection Schedule table
 3. Verify that it contains correct data</t>
  </si>
  <si>
    <t>Verify search function works for Waste Collection
 Schedule table</t>
  </si>
  <si>
    <t>1. Enter a valid keyword (e.g., Driver name, Barangay) in
 search field
 2. Click search icon</t>
  </si>
  <si>
    <t>1. Click Filter button
 2. Select valid filter criteria (e.g., Date, Status, Barangay)
 3. Click Apply</t>
  </si>
  <si>
    <t>Table updates to show only records matching filter
 criteria</t>
  </si>
  <si>
    <t>Verify pagination navigation works for Waste
 Collection Schedule table</t>
  </si>
  <si>
    <t>1. Navigate to Waste Collection page
 2. Scroll to Waste Collection Schedule table
 3. Click on pagination controls (Next, Previous, page numbers)</t>
  </si>
  <si>
    <t>Verify that the applicant can click the Garbage Collection &amp; Disposal Request button and view the request form.</t>
  </si>
  <si>
    <t>1. Locate the "Garbage Collection &amp; Disposal Request" button.
 2. Click on the button.</t>
  </si>
  <si>
    <t>Verify that the applicant can select a request type.</t>
  </si>
  <si>
    <t>-The fields should accept differenttype of inputs specified for each</t>
  </si>
  <si>
    <t>1. Locate the Name / Establishment Name text box.
 2. Enter a valid name.
 3. Try entering numbers or special characters.</t>
  </si>
  <si>
    <t>1. Locate the Contact Number field.
 2. Enter a valid 10–15 digit phone number.
 3. Try entering letters or symbols.</t>
  </si>
  <si>
    <t>1. Locate the Email (Optional) field.
 2. Enter a valid email (e.g., user@example.com).
 3. Enter an invalid email format (e.g., user@com).</t>
  </si>
  <si>
    <t>- Field accepts valid email formats.
 - Validation message appears for invalid formats.</t>
  </si>
  <si>
    <t>1. Locate the Waste Description text field.
 2. Enter a description</t>
  </si>
  <si>
    <t>- Field accepts alphanumeric text.
 - Validation error appears if left empty.</t>
  </si>
  <si>
    <t>1. Locate the Location Address text box.
 2. Enter a valid address</t>
  </si>
  <si>
    <t>1. Select any combination of days (SUN–SAT).
 2. Set a start and end time.</t>
  </si>
  <si>
    <t>- Multiple days can be selected.
 - Time fields accept only valid time format.</t>
  </si>
  <si>
    <t>1.Click Choose File.
 2. Select a valid file format (e.g., PDF, JPG, DOCX).
 3. Try uploading an invalid file format</t>
  </si>
  <si>
    <t>- System accepts allowed file formats.
 - Error message appears for unsupported formats.</t>
  </si>
  <si>
    <t>1. Fill all required fields with valid data.
 2. Click Submit.</t>
  </si>
  <si>
    <t>- Form is successfully submitted.
 - Confirmation message appears.</t>
  </si>
  <si>
    <t>1. Locate the Close button at the bottom of the form
 2. Click the Close button.</t>
  </si>
  <si>
    <t>A success message modal should appear with:
 "Record created successfully!".</t>
  </si>
  <si>
    <t>1. Click Survey
 2. CSM will show.
 3. Fill up the CSM.
 4. Finish filing the report Form.</t>
  </si>
  <si>
    <t>-Applicant is logged in into the system.
 -Applicant has access to the Environmental Clearance Submodule</t>
  </si>
  <si>
    <t>- Applicant has access to Environmental Clearance Submodule.</t>
  </si>
  <si>
    <t>Verify that the Applicant can fill-up and submit form to GHG Application Requested Clearance successfully. change to Can request for Certificate</t>
  </si>
  <si>
    <t>-Application User is logged in into the system.
 -Applicant has access to the Environmental Clearance Submodule
 -Applicant has access to GHG.
 -Applicant can submit form to GHG to requests for Certificate</t>
  </si>
  <si>
    <t>- View GHG Application Requested Clearance Table List and Rate (Request ID. Application Type, Location, Business Name, Location, Total Electricity Consumption, Total Water Consumption, Total Fuel Consumption of Generator and Total Fuel Consumption of Vehicle).</t>
  </si>
  <si>
    <t>-Application User is logged in into the system.
 -Applicant has access to the Environmental Clearance Submodule
 -Applicant has access to GHG.</t>
  </si>
  <si>
    <t>1. Navigate to the GHG Application form.
 2. Check the Application Type.
 3. Select "New" or Select "Renewal".</t>
  </si>
  <si>
    <t>1. Fill in the GHG application form completely.
 2. Click on the "Submit" button.</t>
  </si>
  <si>
    <t>1. Start filling the GHG application form.
 2. Click on the "Cancel" button.</t>
  </si>
  <si>
    <t>1. Choose "New" as the Application Type.
 2. Fill-up Inventory Report form.</t>
  </si>
  <si>
    <t>1. Go to the GHG Application Table.
 2. Find your Application Form</t>
  </si>
  <si>
    <t>1. Navigate to the GHG table.
 2. Select Application
 3. Scroll to the right
 4.Click the View icon.</t>
  </si>
  <si>
    <t>1.Finish filing the report Form.
 2.CSM will show.
 3.Fill up the CSM.</t>
  </si>
  <si>
    <t>- Applicant can fill-up and submit form successfully.</t>
  </si>
  <si>
    <t>- The "Inspection Request Form" tab
 closes without saving any data</t>
  </si>
  <si>
    <t>1. Leave required fields empty
 2. Click "Submit"</t>
  </si>
  <si>
    <t>1. Enter Invalid Email and Contact Number
 2. Click "Submit"</t>
  </si>
  <si>
    <t>1. Select One Pollution Type from the Dropdown
 (e.g., Noise Pollution)</t>
  </si>
  <si>
    <t>1. Select days (e.g., Mon–Fri)
 2. Set time range (e.g., 08:00 AM – 05:00 PM)</t>
  </si>
  <si>
    <t>1. Fill out all required fields with valid data
 2. Click "Submit"</t>
  </si>
  <si>
    <t>- A success message appears ("Record
 Created Successfully!")
 - Data is Added to the Anti-Noise
 Pollution Table</t>
  </si>
  <si>
    <t>1. Scroll to the bottom of the table
 2. Use navigation arrows</t>
  </si>
  <si>
    <t>- Pagination works smoothly
 - Data updates accordingly</t>
  </si>
  <si>
    <t>- "Other Services" tab closes
 - No data is save or submitted</t>
  </si>
  <si>
    <t>- All previously entered data is cleared</t>
  </si>
  <si>
    <t>Verifty that after submitting the request
 a Help Us Serve You Better form appear</t>
  </si>
  <si>
    <t>1. Click the "Submit" button on the Request for Inspection
 form.
 2. Fill out all required fields in the "Help Us Serve You Better"
 form.</t>
  </si>
  <si>
    <t>1. Click the "Submit" button on the Request for Inspection
 form.
 2. Fill out all required fields in the "Help Us Serve You Better"
 form.
 3. Click the submit button</t>
  </si>
  <si>
    <t>Verify that the Applicant is able to view the
 Inspection Request table</t>
  </si>
  <si>
    <t>Verify that the Applicant is able to view the
 Status</t>
  </si>
  <si>
    <t>1. Click the “&gt;” or “&lt;” button and verify the next
 or previous page of Inspection Request is displayed
 2. Click the “&gt;&gt;” or “&lt;&lt;” button and verify the
 last or first page of Inspection Reques is displayed
 3. Check the accuracy of displayed data on
 each page</t>
  </si>
  <si>
    <t>- All pagination buttons are
 clickable
 - “&gt;” and “&lt;” navigate to the
 next/previous page
 - “&gt;&gt;” and “&lt;&lt;” navigate to the
 last/first page
 - Each page displays accurate &amp;
 expected Inspection Request data</t>
  </si>
  <si>
    <t>- Applicant is logged into the system
 - Is in "Other Services" module
 - Is on "Other Services" window</t>
  </si>
  <si>
    <t>Verify that the module is accessible and visible from the Dashboard</t>
  </si>
  <si>
    <t>- Applicant is logged in
 - Applicant is on the Dashboard page</t>
  </si>
  <si>
    <t>1. Go to the Environmental Ordinance Violation module
 2. View the Order of Payment tab
 3. Click the “&gt;” or “&lt;” button to go to the next or previous page
 4. Click the “&gt;&gt;” or “&lt;&lt;” button to go to the last or first page
 5. Check if the data displayed on each page is accurate</t>
  </si>
  <si>
    <t>1. Go to the Violations table.
 2. Select a specific violation.</t>
  </si>
  <si>
    <t>1.Go to Violations list.
 2.Click on a violation.
 3.Click Supporting Documents.</t>
  </si>
  <si>
    <t>-Supporting files are displayed (PDF, images, etc.).
 -User can preview or download them.</t>
  </si>
  <si>
    <t>SUMMARY : MWMS - APPLICANT</t>
  </si>
  <si>
    <t>Verify that a non-applicant user cannot  be used to log in as an applicant</t>
  </si>
  <si>
    <t xml:space="preserve">1. Open the Login Page
2. Click the "Register here" button
3. Input the email, password, and confirm password
4. Click next
5. Input full name, contact number, address, birthday, sex
6. Click submit </t>
  </si>
  <si>
    <t>Dashboard</t>
  </si>
  <si>
    <t>As an Applicant I should be able to search through my application requests</t>
  </si>
  <si>
    <t>1. Open the Dashboard
2. Navigate to Application Request Section
3. Enter a valid search query in the search field
4. Click Enter
5. Verify that the system displays the correct and relevant 
results matching the search query.</t>
  </si>
  <si>
    <t>The search bar/button is not 
functional</t>
  </si>
  <si>
    <t>1. Open the Dashboard
2. Navigate to Application Request Section
3. Perform a search using an invalid or non-existing query
4. Verify the system displays the message "No Data Found"</t>
  </si>
  <si>
    <t>The system should display the message "No Data Found" when
the search does not match any result</t>
  </si>
  <si>
    <t>1. Log in using the applicant account
2. Open the Dashboard
3. Navigate to Application Request Section
4. Use Search Functionality with different types of inputs</t>
  </si>
  <si>
    <t>The system should access the search functionality</t>
  </si>
  <si>
    <t>The search functionality is not working</t>
  </si>
  <si>
    <t>As an Applicant, I should be able to view all my applications request</t>
  </si>
  <si>
    <t>Validate that the applicant can view all the application requests in an orderly fashion</t>
  </si>
  <si>
    <t>Applicant user is logged in
Applicant user has sent application requests</t>
  </si>
  <si>
    <t>1. Log in using the applicant account.
2. User should immediately see the dashboard.
3. Find the module named Application Requests.
4. Click on the arrow buttons beside the numbers to browse through the requests.</t>
  </si>
  <si>
    <t>The system should display all the application request the user has made can move between all the results</t>
  </si>
  <si>
    <t xml:space="preserve">Unable to test due to lack of data </t>
  </si>
  <si>
    <t>Environmental Clearance Forms</t>
  </si>
  <si>
    <t>As an applicant, I want to track the status of my inspection in real time</t>
  </si>
  <si>
    <t>Verify that applicant submits the request with a valid date and time</t>
  </si>
  <si>
    <t>The applicant is able to create an inspection.</t>
  </si>
  <si>
    <t>1. Login Makati WMS applicant Account
2. Go to Environmental clearance
3. Click Create inspection</t>
  </si>
  <si>
    <t>The system should allow the applicant to select a preferred date and time.</t>
  </si>
  <si>
    <t>As an Applicant, I want to create an Inspection Request</t>
  </si>
  <si>
    <t>Validate that the applicant can input necessary information on input fields provided</t>
  </si>
  <si>
    <t>The user is logged in and at the Environmental Clearance Tab</t>
  </si>
  <si>
    <t>1. Click on "Select Clearance Forms" dropdown
2. Click "Create Inspection"
3. Input data on input fields provided</t>
  </si>
  <si>
    <t>User can input data on input fields provided</t>
  </si>
  <si>
    <t>Validate that the applicant can see warnings for input fields that are required</t>
  </si>
  <si>
    <t>1. Click on "Select Clearance Forms" dropdown
2. Click "Create Inspection"
3. Click "Submit"</t>
  </si>
  <si>
    <t>Red texts appear stating that a specific field is required</t>
  </si>
  <si>
    <t>Validate that the "Cancel" button is seen and clickable</t>
  </si>
  <si>
    <t>1. Click on "Select Clearance Forms" dropdown
2. Click "Create Inspection"
3. Hover and click on "Cancel"</t>
  </si>
  <si>
    <t>"Cancel" button is seen and can be clicked</t>
  </si>
  <si>
    <t>Validate that the applicant can cancel filling up the Inspection requestion form</t>
  </si>
  <si>
    <t>1. Click on "Select Clearance Forms" dropdown
2. Click "Create Inspection"
3. Click "Cancel"</t>
  </si>
  <si>
    <t>Inspection Request form is closed</t>
  </si>
  <si>
    <t>Validate that the "Submit" button is seen and clickable</t>
  </si>
  <si>
    <t>1. Click on "Select Clearance Forms" dropdown
2. Click "Create Inspection"
3. Hover and click on "Submit"</t>
  </si>
  <si>
    <t>"Submit" button is seen and can be clicked</t>
  </si>
  <si>
    <t>Validate that the applicant can submit the Inspection requestion form</t>
  </si>
  <si>
    <t>1. Click on "Select Clearance Forms" dropdown
2. Click "Create Inspection"
3. Input data on input fields provided
4. Click "Submit"</t>
  </si>
  <si>
    <t>Inspection Request form is submitted and data is added to the list</t>
  </si>
  <si>
    <t>Validate that the applicant can see a submission successful modal after submitting the Inspection Request form</t>
  </si>
  <si>
    <t>1. Click on "Select Clearance Forms" dropdown
2. Click "Create Inspection"
3. Input data on input fields provided
4. Click "Submit"
5. Click "Continue"</t>
  </si>
  <si>
    <t>A modal pops up stating that "Inspection Request Submitted Successfully!"</t>
  </si>
  <si>
    <t xml:space="preserve">As an Applicant, I want to create an GHG account </t>
  </si>
  <si>
    <t>Validate that applicant can fill the blanks given on creating the GHG account</t>
  </si>
  <si>
    <t xml:space="preserve">1. The User is logged in
2. Applicant goes to environmental  Clearance tab </t>
  </si>
  <si>
    <t>1. Log in as as applicant 
2. Go to the Environmental clearance
3. On the Environmental clearance forms select the create GHG
4. Fill the blanks given
5. Click submit</t>
  </si>
  <si>
    <t>After creating an GHG account it shouldbe display in the GHG inventory report</t>
  </si>
  <si>
    <t>Validate that after creating the GHG account it should be display the Approved and rejected</t>
  </si>
  <si>
    <t>"1. Log in as as applicant 
2. Go to the Environmental clearance
3. On the Environmental clearance forms select the create GHG
4. Fill the blanks given
5. Click submit"</t>
  </si>
  <si>
    <t>After creating an GHG account the Approved and Rejected must be displayed in the report to review by the admin</t>
  </si>
  <si>
    <t>Validate that creating an renewned GHG inventory report must be show on the list</t>
  </si>
  <si>
    <t>After creating an GHG inventory report should be shown on the list</t>
  </si>
  <si>
    <t>Validate that the reporting year should be fixed on the list</t>
  </si>
  <si>
    <t>"1. Log in as as applicant 
2. Go to the Environmental clearance
3. On the Environmental clearance forms select the create GHG
4. Fill the blanks given
5. Click submit"</t>
  </si>
  <si>
    <t>After creating an GHG inventory report the year must be at 4 digits</t>
  </si>
  <si>
    <t>The system accepts atleast 1 to 3 digits  or more than on the reporting year</t>
  </si>
  <si>
    <t>Validate that the applicant can attached supported file</t>
  </si>
  <si>
    <t>During filling up the GHG inventory report the applicant should be able to attach a supported file</t>
  </si>
  <si>
    <t>After attaching the supported file there's no file shown.</t>
  </si>
  <si>
    <t xml:space="preserve">Validate that the required blanks must given a mark to the blanks are not yet answer </t>
  </si>
  <si>
    <t xml:space="preserve">The applicant should not proceed to the next step, when there's a blank on the form </t>
  </si>
  <si>
    <t>As an Applicant, I should be able to see the list of Download Applications</t>
  </si>
  <si>
    <t>Validate that on Download application must show the list of applications</t>
  </si>
  <si>
    <t>1. Log in as as applicant 
2. Go to the Environmental clearance
3. On the Environmental clearance forms select the Download Application</t>
  </si>
  <si>
    <t>The applicant should be able to see the list of Download Application Information</t>
  </si>
  <si>
    <t xml:space="preserve">After clicking the Download Application there's no feature shown </t>
  </si>
  <si>
    <t>COMPLAINTS</t>
  </si>
  <si>
    <t>As an applicant, I should be able to file a complaint / report</t>
  </si>
  <si>
    <t>Validate that the user can file a complaint / report</t>
  </si>
  <si>
    <t>The user is logged in as an applicant</t>
  </si>
  <si>
    <t>1. Log in as an applicant
2. Click the button labeled Complaints on the left side of the website.
3. Click the labeled “FILE COMPLAINT / REPORT ”button.
4. Fill out the needed information.
5. Click submit.</t>
  </si>
  <si>
    <t>The applicant should be able to file a complaint / report</t>
  </si>
  <si>
    <t>As an applicant, I should be able to view my complaint / report</t>
  </si>
  <si>
    <t>Validate that the user can view the complaint / report</t>
  </si>
  <si>
    <t>The user is logged in as an applicant
The user has filed a complaint / report</t>
  </si>
  <si>
    <t>1. Log in as an applicant
2. Click the button labeled Complaints on the left side of the website.
3. View the complaint/report from the table.</t>
  </si>
  <si>
    <t>The applicant should see the complaint / report upon going into the tab</t>
  </si>
  <si>
    <t>As an applicant, I should be able to search for my complaint / report</t>
  </si>
  <si>
    <t>Validate that the user can search for their complaint / report</t>
  </si>
  <si>
    <t>The user is logged in as an applicant
The user has filed multiple complaints / reports</t>
  </si>
  <si>
    <t>1. Log in as an applicant
2. Click the button labeled Complaints on the left side of the website.
3. Enter the ID number of the report.</t>
  </si>
  <si>
    <t>The applicant should be able to search their complaint / report from their multiple reports</t>
  </si>
  <si>
    <t>As an applicant I should be able to browse through multiple complaints and reports</t>
  </si>
  <si>
    <t>Validate that the user can browse through the multiple complaints and reports</t>
  </si>
  <si>
    <t>1. Log in using the applicant account.
2. User should immediately see the dashboard.
3. Find the module named Complaint / Report
4. Click on the arrow buttons beside the numbers to browse through the requests.</t>
  </si>
  <si>
    <t>The applicant should be able to browse through multiple pages or complaint/ reports</t>
  </si>
  <si>
    <t>REQUESTS</t>
  </si>
  <si>
    <t>As an applicant, I should be able to file a request.</t>
  </si>
  <si>
    <t>Validate that the user can file a request</t>
  </si>
  <si>
    <t>1. Log in as as applicant 
2. Go to Request "
3. Fill up the required fields
4. Click Submit</t>
  </si>
  <si>
    <t>The applicant should be able to file a request</t>
  </si>
  <si>
    <t>As an applicant, I should be able to view my requests</t>
  </si>
  <si>
    <t>Validate that the user can view the request</t>
  </si>
  <si>
    <t>The user is logged in as an applicant
The user has filed a request</t>
  </si>
  <si>
    <t>1. Log in as an applicant
2. Click the button labeled "Request" on the left side of the website.
3. View the request from the table.</t>
  </si>
  <si>
    <t>The applicant should see the request upon going into the tab</t>
  </si>
  <si>
    <t>As an applicant, I should be able to search for my request</t>
  </si>
  <si>
    <t>Validate that the user can search for their request</t>
  </si>
  <si>
    <t>The user is logged in as an applicant
The user has filed a request already</t>
  </si>
  <si>
    <t>1. Log in as an applicant
2. Click the button labeled "Request" on the left side of the website.
3. Enter the ID number of the request.</t>
  </si>
  <si>
    <t>The applicant should be able to search their request from their multiple requests</t>
  </si>
  <si>
    <t>As an applicant I should be able to browse through multiple request pages</t>
  </si>
  <si>
    <t>Validate that the user can browse through the multiple Request</t>
  </si>
  <si>
    <t>The user is logged in as an applicant
There are multiple requests filed already</t>
  </si>
  <si>
    <t>1. Log in using the applicant account.
2. User should immediately see the dashboard.
3. Find the module named "Request"
4. Click on the arrow buttons beside the numbers to browse through the requests.</t>
  </si>
  <si>
    <t>The applicant should be able to browse through multiple pages or requests</t>
  </si>
  <si>
    <t>ENVIRONMENTAL CLEARANCE (GHG Inventory Report)</t>
  </si>
  <si>
    <t>As an applicant, I am able to see accurate results when searching</t>
  </si>
  <si>
    <t>Validate if the search results are accurate</t>
  </si>
  <si>
    <t>1. Go to Environmental Clearance Tab upon logging in
2. Navigate to the GHG Inventory Report area
3. Click the search bar then type anything for search</t>
  </si>
  <si>
    <t>The system displays the search results at correctly</t>
  </si>
  <si>
    <t>validate if  the applicant can search using a partial keyword</t>
  </si>
  <si>
    <t>1. Go to Environmental Clearance Tab upon logging in
2. Navigate to the GHG Inventory Report area
3. Enter a partial keyword (ex: "Mih" instead of "MihonBihon")
4. Click the Search button.</t>
  </si>
  <si>
    <t>The system should display all rows that contain the partial keyword in any column.</t>
  </si>
  <si>
    <t>validate if  the applicant can  search using an invalid or non-existent value</t>
  </si>
  <si>
    <t>1. Go to Environmental Clearance Tab upon logging in
2. Navigate to the GHG Inventory Report area
3. Enter a completely random or invalid value (ex. "123test")
4. Click the Search button.</t>
  </si>
  <si>
    <t>The system should be able to see the result "No data found"</t>
  </si>
  <si>
    <t>validate if  the applicant can reset results when clearing the search input</t>
  </si>
  <si>
    <t>1. Go to Environmental Clearance Tab upon logging in
2. Navigate to the GHG Inventory Report area
3. Clear the Search bar (remove all text).
4. Click the Search button.</t>
  </si>
  <si>
    <t>The system should display all rows again (reset to the default view).</t>
  </si>
  <si>
    <t>As an Applicant,  I want to filter the reports I want to see</t>
  </si>
  <si>
    <t xml:space="preserve">Verify that the applicant can set default filters </t>
  </si>
  <si>
    <t>1. Applicant is logged in
2. Applicant is in the Environmental Clearance tab</t>
  </si>
  <si>
    <t>1. Go to Environmental Clearance Tab
2. Navigate the GHG Inventory Report
3. Click the filter icon</t>
  </si>
  <si>
    <t>The system should display only the data matching the selected filter criteria</t>
  </si>
  <si>
    <t>As an applicant, I would like to verify the accuracy of the pagination.</t>
  </si>
  <si>
    <t>Ensure that the page updates accurately when clicking Next Page.</t>
  </si>
  <si>
    <t>1. Go to the Environmental Clearance tab upon logging in.
2. Navigate to the GHG Inventory Report section.
3. Verify if the page displays accurate details.</t>
  </si>
  <si>
    <t xml:space="preserve">The Sysrem should display the accurate date per page </t>
  </si>
  <si>
    <t>ENVIRONMENTAL CLEARANCE (Inspection Request)</t>
  </si>
  <si>
    <t>As an applicant, I want to view inspection requests.</t>
  </si>
  <si>
    <t>Validate that the applicant can view the list of inspection requests.</t>
  </si>
  <si>
    <t>User is logged in and has selected the Environment Clearance tab.</t>
  </si>
  <si>
    <t>1. Click on Environmental Clearance on the left side of the dashboard.
2. Scroll down to the Inspection Request section of the page.
3. View the list provided.</t>
  </si>
  <si>
    <t>The user should be able to view a list of inspection requests.</t>
  </si>
  <si>
    <t>As an applicant, I should be able to filter what I want to display</t>
  </si>
  <si>
    <t>1.Logged in as Applicant
2. Applicant is in the Environmental Clearance Tab</t>
  </si>
  <si>
    <t>1. Go to Environmental Clearance Tab upon logging in
2. Click on the search bar of the Inspection Request Section.
3. Enter a valid entity name in the search bar.
4. Click on the Search icon.</t>
  </si>
  <si>
    <t>The system returns an accurate display of results.</t>
  </si>
  <si>
    <t>Validate if  the applicant can search using a partial keyword</t>
  </si>
  <si>
    <t>1. Go to Environmental Clearance Tab upon logging in.
2. Click on the search bar of the Inspection Request Section.
3. Enter a partial keyword. (ex: "Jo" instead of "John")
4. Click on the Search icon.</t>
  </si>
  <si>
    <t>Validate that the applicant can successfully filter to the results based on the inputted variables</t>
  </si>
  <si>
    <t>1. Go to Environmental Clearance Tab upon logging in.
2. Select the Filter button.
3. In Filter mode, select the following: number of items to display per page, search by date, pollution type, and status.
4. Click on the Apply button.</t>
  </si>
  <si>
    <t>The system should display all filters specially selected/modified in the Filter section.</t>
  </si>
  <si>
    <t>Validate if  the applicant can search using an invalid or non-existent value.</t>
  </si>
  <si>
    <t>1. Go to Environmental Clearance Tab upon logging in
2. Click on the search bar of the Inspection Request Section.
3. Enter an invalid entity name in the search bar.
4. Click on the Search icon.</t>
  </si>
  <si>
    <t>The system should be able to see the result "No data found".</t>
  </si>
  <si>
    <t>As an applicant, I want to view search results with pagination</t>
  </si>
  <si>
    <t>Validate that the applicant can click the "&gt;" button</t>
  </si>
  <si>
    <t>User is logged in and is already on the Environmental Clearance Tab</t>
  </si>
  <si>
    <t>1. Go to Environmental Clearance Tab
2. Navigate the Inspection Request section
3. Navigate the ""&gt;""/''&lt;'' button under the displayed results</t>
  </si>
  <si>
    <t>The "&gt;" &amp; ''&lt;''  buttons are clickable.</t>
  </si>
  <si>
    <t>1. Go to Environmental Clearance Tab
2. Navigate the Inspection Request section
3. Click the ""&gt;""/''&lt;''  button under the displayed results</t>
  </si>
  <si>
    <t>The displayed results should go to previous/next page.</t>
  </si>
  <si>
    <t>1. Go to Environmental Clearance Tab
2. Navigate the Inspection Request section
3. Navigate the ""&gt;&gt;""/''&lt;&lt;''  button under the displayed results</t>
  </si>
  <si>
    <t>The "&gt;&gt;" &amp; "&lt;&lt;" buttons are clickable.</t>
  </si>
  <si>
    <t>1. Go to Environmental Clearance Tab
2. Navigate the Inspection Request section
3. Click the ""&gt;&gt;""/''&lt;&lt;''  button under the displayed results</t>
  </si>
  <si>
    <t>The displayed results should go to the first/last page of pagination.</t>
  </si>
  <si>
    <t>1. Go to Environmental Clearance Tab
2. Navigate the ""&gt;&gt;"" or ""&gt;""  button under the displayed results
3. Verify the information displayed in each pagination</t>
  </si>
  <si>
    <t>Information displayed in each pagination should be accurate.</t>
  </si>
  <si>
    <t>Validate if the displayed number pages is in correct number sequence</t>
  </si>
  <si>
    <t>1. Go to Environmental Clearance Tab
2. Navigate the pagination section located at the bottom right of the displayed results</t>
  </si>
  <si>
    <t>Numbering in pagination should be in correct sequence.</t>
  </si>
  <si>
    <t>GARBAGE TRUCK MONITORING</t>
  </si>
  <si>
    <t>As an applicant, I can monitor garbage trucks using a gps tracker</t>
  </si>
  <si>
    <t>Validate that the applicant can see the route and schedule of the designated truck</t>
  </si>
  <si>
    <t>Admin is logged in and in the Garbage Truck Monitoring tab</t>
  </si>
  <si>
    <t>1. Check if there is a route displayed with it showing where the truck is currently</t>
  </si>
  <si>
    <t>The route and schedule is displayed with the lines and dots</t>
  </si>
  <si>
    <t>Validate that the applicant can see the map</t>
  </si>
  <si>
    <t>1. Check if there is a google map displayed</t>
  </si>
  <si>
    <t>Google map is visible</t>
  </si>
  <si>
    <t>Validate that the applicant can see details of the truck</t>
  </si>
  <si>
    <t>1. Check if driver's information are there like name, truck number, and cleaning schedule</t>
  </si>
  <si>
    <t>Driver, truck information, and schedule is displayed on top of the route</t>
  </si>
  <si>
    <t>Validate that the applicant interact properly with the map</t>
  </si>
  <si>
    <t>1. Click and drag anywhere on the map
2. Use ctrl + "mouse wheel up.down" to zoom in and out
3. Try clicking on "View larger map" and "Directions"</t>
  </si>
  <si>
    <t>User can interact with the map freely</t>
  </si>
  <si>
    <t>OVERALL PROGRESS</t>
  </si>
  <si>
    <t>Test Scripts NOT TESTED</t>
  </si>
  <si>
    <t>POT Link</t>
  </si>
  <si>
    <t>TESTER</t>
  </si>
  <si>
    <t>Remarks (Tester)</t>
  </si>
  <si>
    <t>Dev Remarks</t>
  </si>
  <si>
    <t>Dev Remarks Date</t>
  </si>
  <si>
    <t>TESTER NAME</t>
  </si>
  <si>
    <t>1. Open the login page.
 2. Enter a valid admin username.
 3. Enter a valid password.
 4. Click the "Log In" button.
 5. Verify that the admin is redirected to dashboard after logging in</t>
  </si>
  <si>
    <t>1.) The system displays an error message:
 "Incorrect Login: Invalid Username or Password."
 2.) The admin is not logged in.</t>
  </si>
  <si>
    <t>Validate that the system does not accept login attempts
 without both username and password</t>
  </si>
  <si>
    <t>1. Go the the Login Page
 2. When entering the credentials,
 leave the username and/or password field blank.
 3. Click the "Log In" button.
 4. Verify that an error message appears
 prompting the user to fill in the missing fields.</t>
  </si>
  <si>
    <t>1. Open the login page.
 2. Enter a password in the password field.
 3.Verify that the password is masked
 (An icon that will display the password as dots).</t>
  </si>
  <si>
    <t>When clicking the eye icon, the password
 will display as dots (••••••••••).</t>
  </si>
  <si>
    <t>1. Navigate the dashboard
 2. Locate the announcement tab
 3. Choose any pre-posted announcement
 4. Click edit
 5. Confirm edit on the announcement</t>
  </si>
  <si>
    <t>1. Navigate the dashboard
 2. Locate the announcement tab
 3. Choose any pre-posted announcement
 4. Click Delete
 5. Confirm Delete for the announcement</t>
  </si>
  <si>
    <t>-User is logged in as Admin
 -Navigate on the User Management module</t>
  </si>
  <si>
    <t>-User is logged in as Admin
 -Navigate on the User Management module
 -Admin is on the internal tab</t>
  </si>
  <si>
    <t>-User is logged in as Admin
 -Navigate on the User Management module
 -Admin is on the internal tab
 -A valid import file</t>
  </si>
  <si>
    <t>-User is logged in as Admin
 -Navigate on the User Management module
 -Admin is on the internal tab
 -At least one registered account exists</t>
  </si>
  <si>
    <t>1. Enter Role Title and Description
 2. Add multiple Valid Codes (e.g., M1, M2, M3, etc.)
 3. Click "Submit"</t>
  </si>
  <si>
    <t>1. Click the "Create Role" Button
 2. Enter Valid Role Title, Permission/Access Code, and Description
 3. Click "Submit"</t>
  </si>
  <si>
    <t>1. Click the "Create Role" Button
 2. Enter Valid Permission/Access Code, and Description
 3. Enter an existing role name (e.g., Admin)
 4. Click "Submit"</t>
  </si>
  <si>
    <t>Verify that the Admin can add an existing
 Permission/Access Code</t>
  </si>
  <si>
    <t>1. Click "View"
 2. Click "Edit" Button
 3. Enter a new permission/access code in the
 Code field.
 4. Click "Submit"</t>
  </si>
  <si>
    <t>1.) Go to the Recent Survey Response table.
 2.) Scroll to the bottom of the table and locate the pagination controls (like page number and arrows).
 3.) Click the arrow (&gt;) to go to the next page of the table.
 4.) Verify the table updates to show the next set of records.
 5.) Click the Previous arrow (&lt;) to go back to the previous page.
 6.) Check if the table data updates accordingly each time.</t>
  </si>
  <si>
    <t>As an Admin I can navigate to Collection Waste
 module under Transaction on the side bar.</t>
  </si>
  <si>
    <t>Verify admin can navigate to Collection Waste
 module under Transaction on the side bar.</t>
  </si>
  <si>
    <t>Verify admin can view the dashboard of the
 Waste Collection module</t>
  </si>
  <si>
    <t>Verify dashboard displays Collection Completion
 Rate Over Time statistics</t>
  </si>
  <si>
    <t>-Dashboard shows accurate Collection Completion
 Rate Over Time statistics.</t>
  </si>
  <si>
    <t>Verify dashboard displays Daily Garbage
 Collection, Disposal Requests,
 and Violation Issuance</t>
  </si>
  <si>
    <t>1. Navigate to Dashboard.
 2. Check if admin can view Daily Garbage Collection,
 Disposal Requests, and Violation Issuance.</t>
  </si>
  <si>
    <t>-Dashboard displays data for Daily Garbage
 Collection, Garbage Collection &amp; Disposal Requests,
 and Violation Issuance.</t>
  </si>
  <si>
    <t>-Admin can manage and monitor Garbage Collection
 &amp; Disposal requests successfully.</t>
  </si>
  <si>
    <t>Admin can manage and monitor Barangay records
 successfully from the dashboard .</t>
  </si>
  <si>
    <t>-Admin can manage and monitor Garbage Truck
 Violation Issuance successfully.</t>
  </si>
  <si>
    <t>- Logged in as an Admin
 - Admin has access to Garbage
 Collection and Disposal sub-module</t>
  </si>
  <si>
    <t>-Admin able to access Garbage
 Collection and Disposal sub-module</t>
  </si>
  <si>
    <t>Verify the columns in Garbage Collection and Disposal Request table:
 1. #
 2. Request ID
 3. Date Filed
 3. Name
 4. Request Type
 5. Date Viewed
 6. Date Completed
 7. Waste Description
 8. Contact number</t>
  </si>
  <si>
    <t>- Logged in as an Admin
 - Admin has access to Garbage
 Collection and Disposal sub-module
 - GCD "Add" button is accessible</t>
  </si>
  <si>
    <t>1. Click "Add" button in GCDR section
 2. Supply all the Required Fiels such as the Request Type,
 Establishment Name, Contact Number, Waste Description,
 Location Address, Collection Schedule, and Status
 3. Click "Submit"</t>
  </si>
  <si>
    <t>- the new request is successfully submitted
 - the new request appears on the GCDR section
 with the Request ID, Date Filed, Name, Request
 Type, Date Viewed, Date Completed, Waste
 Decription, and Contact5 Number
 - a tab showing successful request creation
 "Record Created Successfully!"</t>
  </si>
  <si>
    <t>Verify the Add form the foolwoing fields:
 1. Request Type
 2. Waste Description
 3. Location Address
 4. Supporting Documents
 5. Preffered Collection Schediule
 6. Name
 7. Contact Number
 8. Email
 9 Status</t>
  </si>
  <si>
    <t>- a validation message should appear
 - the GCDR Request should not be made and
 appear in the GCDR section</t>
  </si>
  <si>
    <t>1. Click "Add" button in GCDR section
 2. Click "Choose File"
 3. Proceed in Uploading the File/s</t>
  </si>
  <si>
    <t>- the attempt of request should not appear in the
 GCDR section</t>
  </si>
  <si>
    <t>The system should display the table
 "Datu Basurero Pang Araw-araw na Report sa
 Koleksyon" correctly with all relevant records visible.</t>
  </si>
  <si>
    <t>Verify the columns in Datu basurero pang araw-araw na report sa koleksyon table:
 1. #
 2. Plate No.
 3. Klase ng Trak
 3. Palero
 4. Kontractor
 5. Brangay
 6. Kalye
 7. Date
 8. Time
 9. Date View</t>
  </si>
  <si>
    <t>Table updates to show only records matching
 search keyword</t>
  </si>
  <si>
    <t>Verify the Add form the follwoing fields
 1. Petsa
 2. Oras nag simula
 3. Oras Natapos
 4. Barangay
 5. Kalye
 6. Klase ng Track
 7. Plate Number
 8. Volume
 9. Pangalan ng Dirver
 10. Driver ID number
 11. Kontractor
 12. Pangalan ng Palero
 13. Palero ID Number
 14. Body Number
 15. Supporting Documents
 16. Status</t>
  </si>
  <si>
    <t>Verify admin can view Waste Collection
 Schedule Table List on Garbage Collection
 &amp; Disposal Module</t>
  </si>
  <si>
    <t>-Admin is logged in
 -Navigated to the Garbage Collection
 &amp; Disposal Module.</t>
  </si>
  <si>
    <t>Verify pagination works properly and smoothly
 on Waste Collection Schedule list</t>
  </si>
  <si>
    <t>1. Go to the Waste Collection Schedule Table List.
 2. Navigate pages using pagination controls
 (&gt;, &gt;&gt;, &lt;, &lt;&lt;, Page Numbers).</t>
  </si>
  <si>
    <t>-Pagination works smoothly and displays the
 correct records per page.</t>
  </si>
  <si>
    <t>Verify the columns in Waste Collection Schedule table:
 1. Date
 2. Plate No.
 3. Klase ng Trak
 4. Driver
 5. Palero
 6. Kontractor
 7. Route Schedule
 6. Date Completed
 7. Status
 8. Action</t>
  </si>
  <si>
    <t>-A new Waste Collection Schedule is successfully
 created and displayed in the list.</t>
  </si>
  <si>
    <t>Verify the Add form the follwoing fields
 1. Petsa
 2.Phone Number
 3. Klase ng Track
 4. Volume
 5. Body Number
 6. Kontractor
 7. Plate Number
 8. Dirver
 9. Pangalan ng
 10. Palero
 11. Route Title
 12. Create Route Schedule
 13. Status</t>
  </si>
  <si>
    <t>-If Submit (New route is successfully created and
 saved.)
 -If Cancel (Action is aborted and no new route is
 saved.)</t>
  </si>
  <si>
    <t>1. Enter search keywords (e.g., Driver, Palero, Plate No.)
 in the Search Bar.
 2. Press Search icon.</t>
  </si>
  <si>
    <t>-System displays only records matching the
 search criteria.</t>
  </si>
  <si>
    <t>1. Click Filter button.
 2. Apply filters by Number of Items per Page, Driver,
 Palero, Plate No.</t>
  </si>
  <si>
    <t xml:space="preserve"> 1. Log in as admin
 2. Click Transactions on the sidebar
 3. Select Barangay Module</t>
  </si>
  <si>
    <t>Verify the columns in Bulky Waste table:
 1. Mission Order ID
 2. Name
 3. Contact Number
 4. Application Date
 5. Service Type
 6. Date Filed
 7. Date Viewed
 8. Status
 9. Action Taken
 10. Date completed
 11. View</t>
  </si>
  <si>
    <t>Verify the Add form the follwoing fields
 1. Request Type
 2. Barrangay
 3. Name / Establishment
 4. Contact number
 5. Email
 6. Waste Description
 7. Location Address
 8. Supporting Documentation
 9. Preferred Collection Scheduke
 10. Time start
 11. Time End
 12 Status</t>
  </si>
  <si>
    <t>1. Navigate to import option
 2. Upload a valid data file
 3. Click Import</t>
  </si>
  <si>
    <t>1. Click on Add
 2. Fill out all required fields (e.g., Request Type, Barangay,
 Contact Number, Location Address)
 3. Click Submit</t>
  </si>
  <si>
    <t>1. Navigate the search bar
 2. Input a valid data in the search</t>
  </si>
  <si>
    <t>1. Navigate the search bar
 2. Input a valid data in the search
 3. Click the search icon
 4. Verify the displayed results</t>
  </si>
  <si>
    <t>1. Click Filter button
 2. Select valid filter criteria
 3. Click Apply</t>
  </si>
  <si>
    <t>1. Select a request from the table list.
 2. Click Delete icon.
 3. Confirm deletion.</t>
  </si>
  <si>
    <t>-The system should open the Request Form,
 displaying all request details correctly.</t>
  </si>
  <si>
    <t>-Pagination works smoothly and displays the correct
 set of records per page.</t>
  </si>
  <si>
    <t>Verify that the filter function works for
 Household Waste request table</t>
  </si>
  <si>
    <t xml:space="preserve"> GARBAGE TRUCK VIOLATION </t>
  </si>
  <si>
    <t>Verify the columns in Garbage Truck Violations Issuance table:
 1. #
 2. Date Filed
 3. Violation Id
 4. COVR No.
 5. Plate No.
 6. Violation Date
 7. Penalty / Fine Imposed (P)
 8. # Violation
 9. Date Viewed
 10. Status
 11. Remarks</t>
  </si>
  <si>
    <t>Verify the Add form the follwoing fields
 1. Petsa
 2. Oras Nagsimula
 3. Oras Natapos
 4. Barangay
 5. Kalye
 6. Klase ng Track
 7. Plate Number
 8. Volume
 9. Pangalanng Driver
 10. Driver ID Number
 11. Kontractor
 12. Pangalan ng Palero
 13. Palero ID Number
 14. Body
 15. Supporting Documents
 16. Status
 17. Pagkakalabag</t>
  </si>
  <si>
    <t>- Admin user is logged in into the system
 - Admin has access to the environmental Clerance Submodule</t>
  </si>
  <si>
    <t>1. Log in as an Admin User.
 2. Navigate to transaction module
 3. Click Environmental Clerance submodule
 4. Observe the dashboard display</t>
  </si>
  <si>
    <t>The Admin user is able to view relevant data in Environmental Clerance, able to view the following:
 1. Application completion rate over time seen by months
 2. Certificate requested (number of view, completed and rejected)
 3. Clickable button for: Greenhouse Gas (GHG) Certificate Inssuance
 4. Clickable button for: Noise Pollution Compliance Certificate
 5. Clickable button for: Request for inspection</t>
  </si>
  <si>
    <t>1. Navigate to Transaction
 2. Click down arrow in Environmental Clerance
 3. Click Greenhouse Gas (GHG) Certificate Inssuance</t>
  </si>
  <si>
    <t>The Admin user is able to view tables of the folowing
 1. Application table of Greenhouse Gas (GHG) Certificate Inssuance</t>
  </si>
  <si>
    <t>Verify the columns in Greenhouse Gas Certificate Inssuances for Business Estabilshment table:
 1. #
 2. Request ID
 3. Application Type
 4. BusinessID
 5. Busniess Name
 6. Name
 7. Busniess Location
 8. Total Electricity Consumption
 9. Total Water Consumption
 10. Total Fuel Consumption of Generator
 11. Total Fuel Consumption of Vehicle
 12. Average Quantity od Solid Waste
 13. Assigned Officer
 14. Designation / Position
 15. Contact Number
 16. Email
 17. Payment Status
 18. Document Status
 19. Date Viewed
 20. Date Completed
 21. View</t>
  </si>
  <si>
    <t>1. Click Greenhouse Gas (GHG) Certificate Inssuance
 2. Click Add Button
 3. Fill up Nesessary Details
 4. Click Submit</t>
  </si>
  <si>
    <t>Verify the Add form the follwoing fields
 1. Application Type
 2. Busniess Name
 3. Taxpayer's Name
 4. BusinessID
 5. Line of Business
 6. Contact Number
 7. Business Location
 8. Inventory Reporting Year
 9. Total Electricity Consumption from previous year
 10. Total Water Consumption from previous year
 11. Total Fuel Consumption of Generator set/s previous year
 12. Total Fuel Consumption of Company Vehicles from previous year
 13. Average Quantity od Solid Waste in a month
 14. Supporting Documents
 15. Status</t>
  </si>
  <si>
    <t>- Admin user is logged in into the system
 - Admin has access to the environmental Clerance Submodule
 -GHG section is enabled and visible
 -Tricycle Operator table is configured and accessible</t>
  </si>
  <si>
    <t>Verify the columns in Greenhouse Gas Certificate Inssuances for Tricycle Operator table:
 1. #
 2. Request ID
 3. Application Type
 4. BusinessID
 5. Busniess Name
 6. Name
 7. Busniess Location
 8. Total Electricity Consumption
 9. Total Water Consumption
 10. Total Fuel Consumption of Generator
 11. Total Fuel Consumption of Vehicle
 12. Average Quantity od Solid Waste
 13. Assigned Officer
 14. Designation / Position
 15. Contact Number
 16. Email
 17. Payment Status
 18. Document Status
 19. Date Viewed
 20. Date Completed
 21. View</t>
  </si>
  <si>
    <t>- Admin user is logged in into the system
 - Admin has access to the environmental Clerance Submodule
 -GHG section is enabled and visible
 -Tricycle Operator table is configured and accessible
 -Admin has permission to view inventory reports</t>
  </si>
  <si>
    <t>1.Open the Tricycle Operator table
 2.Click on "View"
 3.Confirm that the Inventory Report Form is displayed</t>
  </si>
  <si>
    <t>1.Open the Tricycle Operator table
 2.Locate and select an existing Inventory Report
 3.Click edit
 4.Select a new status from the dropdown (e.g., Complete, Incomplete, Under Review)
 5.Click "Submit"</t>
  </si>
  <si>
    <t>1.Go to Environmental Clearance &gt; GHG section
 2.Open the Tricycle Operator table
 3.Locate an existing inventory report
 4.Click on the "Delete" button
 5.Confirm the deletion in the popup/dialog
 6.Verify that the report is removed from the table</t>
  </si>
  <si>
    <t>Verify the columns in Anti Noise Pollution Table:
 1. #
 2. Mission Order ID
 3. Busniess Name
 4. Inspection Type
 5. Pollution Type
 6. Contact Number
 7. Location Address</t>
  </si>
  <si>
    <t>- Admin user is logged in into the system
 - Admin has access to the environmental Clerance Submodule
 -Admin can access to the Noise Pollution Compliance Certificate table</t>
  </si>
  <si>
    <t>1. Navigate to the Noise Compliance Certificate table
 2. Click the Search bar
 3. Enter a keyword (e.g., Index Number (#) or Mission Order)
 4. Click the search icon or press Enter</t>
  </si>
  <si>
    <t>- Admin user is logged in into the system
 - Admin has access to the environmental Clerance Submodule
 -Admin can access to the Noise Pollution Compliance Certificate table
 -Admin has permission to add inspection requests</t>
  </si>
  <si>
    <t>Verify the Add form the follwoing fields
 1. Inspection Type
 2. Name of Establishment
 3. Address or Location being complaint
 4. Business Contact Number
 5. Business Email Address
 6. Pollution Type
 7. Business Operating Days and Hours
 8. Status</t>
  </si>
  <si>
    <t>1.Open the NPCC
 2.Locate and select an existing Report
 3.Click edit
 4.Select a new status from the dropdown (e.g., Complete, Incomplete, Under Review)
 5.Click "Submit"</t>
  </si>
  <si>
    <t>Verify the columns in Other Services Request table:
 1. #
 2. Mission Order ID
 3. Name
 4. Contact Number
 5. Application Type
 6. Services Type
 7. Date Filed
 8. Date ????</t>
  </si>
  <si>
    <t>1.Click "Add"
 2. Select if Request or Complaint
 3.Fill in all required fields
 4.Click Submit</t>
  </si>
  <si>
    <t>Verify the Add form the following fields
 1. Services type
 2. Name
 3. Age
 4. Sex
 5. Contact number
 6. Address
 7. Service Location
 8. Supporting Documents
 9. Status</t>
  </si>
  <si>
    <t>1. Click the Delete icon
 2. Select Request/ Complaint
 3. Confirm deletion</t>
  </si>
  <si>
    <t>1.Go to the Request for Inspection page.
 2. Scroll to the bottom of the table and locate the pagination controls (like page number and arrows).
 3.Click the arrow (&gt;) to go to the next page of the table.
 4.Verify the table updates to show the next set of records.
 5.Click the Previous arrow (&lt;) to go back to the previous page.
 6.Check if the table data updates accordingly each time.</t>
  </si>
  <si>
    <t>Verify that admin can access the
 Environmental Ordinance Violation</t>
  </si>
  <si>
    <t>-Admin is logged into the
 system
 -Admin has access to the
 Environmental Ordinance
 Violation module</t>
  </si>
  <si>
    <t>1. Log in as an Admin user
 2. Navigate to the "Enviromental Ordinance Violation"
 module</t>
  </si>
  <si>
    <t>-Admin is successfully directed
 to Enviromental Ordinance
 Violation page
 -Page loads without errors and
 displays Dashboard and table</t>
  </si>
  <si>
    <t>Verify the columns in ViolationTicket Issuance table:
 1. #
 2. Date Issued
 3. Ticket ID
 4. COVR No.
 5. Due Date
 6. Violator Name / Establishment
 7. Violation Type
 8. Customer Type
 9. Address
 10. Date of Inspection
 11. Date Viewed
 12. Complaint Status
 13. Date Completed
 14. Action</t>
  </si>
  <si>
    <t>1. Log in as an Admin user
 2. Navigate to the Enviromental Ordinance Violation
 module
 3.Click the Manual Violation Entry button</t>
  </si>
  <si>
    <t>-Admin can view a Manual
 Violation Entry form
 -Admin can add the details</t>
  </si>
  <si>
    <t>Verify the Add form the following fields
 1. Customer Type
 2. Last name
 3. First name
 4. Middle Name
 5. Sex
 6. Nationality
 7. Contact number
 6. Address
 7. Transient
 8. COVR No.
 9. Place of Apprehension
 10. Fine Per Violation
 11. Total Amount
 12. Date Due
 13. Supporting Documents
 14. Violations
 15. Status</t>
  </si>
  <si>
    <t xml:space="preserve"> 1. Select Violator checkbox
2. Click the Delete icon
 3. Confirm deletion</t>
  </si>
  <si>
    <t>-Violator name and other details
 is removed from the table
 -A confirmation message appears
 -The deleted violator no longer
 appears in the table</t>
  </si>
  <si>
    <t>Verify that the admin can search for
 specific violators using the search bar</t>
  </si>
  <si>
    <t>1.Enter a keyword (e.g., name, ID) in the
 search bar
 2.Press Enter or click the search icon</t>
  </si>
  <si>
    <t>-Matching records are displayed
 based on the search input.</t>
  </si>
  <si>
    <t>Verify that the admin can edit the
 violation report form.</t>
  </si>
  <si>
    <t>1.Open the Manual Violation Entry
 2.Click the "Edit" button or icon beside
 the violation
 3.Modify one or more fields in the form
 4.Click "Submit."
 5.Verify that the changes are saved
 and reflected in the report</t>
  </si>
  <si>
    <t>-Admin can open the report in
 edit mode
 -Changes are successfully saved
 -Updated data is displayed
 correctly without errors</t>
  </si>
  <si>
    <t>Verify that the pagination buttons
 ("&gt;", "&gt;&gt;") are clickable and navigate
 through the mission order records
 correctly</t>
  </si>
  <si>
    <t>1. Go to the Mission Orders and Inspection
 Reports – Violation screen
 2. Click the “&gt;” or “&lt;” button and verify the next
 or previous page of mission orders is displayed
 3. Click the “&gt;&gt;” or “&lt;&lt;” button and verify the
 last or first page of mission orders is displayed
 4. Check the accuracy of displayed data on
 each page</t>
  </si>
  <si>
    <t xml:space="preserve">INSPECTION REPORT </t>
  </si>
  <si>
    <t>- The module should be accessible and display
 the list of mission orders</t>
  </si>
  <si>
    <t>- Next set of mission orders should load correctly
 - Record count (e.g., “Showing 1 to 10 out of 1000”)
 should update</t>
  </si>
  <si>
    <t>Verify the columns in Mission Orders and Inspection Reports table:
 1. #
 2. Mission ID
 3. Process Type
 3. Assigned Officer
 4. Process Type
 5. Assigned Officer
 6. Date Viewed
 7. Date Completed
 8. Contact No.</t>
  </si>
  <si>
    <t>1. Enter a keyword in the search bar (e.g., Assigned Officer
 or Process Type)
 2. Press Enter or click Search</t>
  </si>
  <si>
    <t>- The system should filter and display only
 matching mission orders</t>
  </si>
  <si>
    <t>1. Click the “Add” button
 2. Fill in all required details 
 3. Click “Submit”</t>
  </si>
  <si>
    <t>- A new mission order is successfully created and
 appears in the table with correct details</t>
  </si>
  <si>
    <t>Verify the Add form the follwoing fields
 1.Transcaction
 2. Process Type
 3. Name of Establishment
 4. Name
 5. Address
 6Contact Number.
 7. Supporting Documents
8. Schedule 
9. AUTHORIZED PERSONNEL
10. Status</t>
  </si>
  <si>
    <t xml:space="preserve">1. Open Add form
 2. Click Close </t>
  </si>
  <si>
    <t>1. Select multiple mission orders using checkboxes
 2. Click “Import”
 3. Confirm Import</t>
  </si>
  <si>
    <t>- Selected mission orders are Import successfully</t>
  </si>
  <si>
    <t xml:space="preserve">APPLICANT: LANDING PAGE </t>
  </si>
  <si>
    <t>1. Open Browser
 2. Navigate to URL : https://makati-waste-fe.azurewebsites.net/
 3. Observe page loading behavior</t>
  </si>
  <si>
    <t>- Page loads within 3 seconds
 - Logo is visible
 - Login button is visible</t>
  </si>
  <si>
    <t>1. Open Browser
 2. Navigate to URL : https://makati-waste-fe.azurewebsites.net/
 3. Click the (“&gt;”, “&lt;”, “&gt;&gt;”, “&lt;&lt;”) arrow Button 4. Verify that the image and text content change.</t>
  </si>
  <si>
    <t>1. Scroll to Announcement and events
 2. Select and click View</t>
  </si>
  <si>
    <t>Verify that the user is redirected to the full Announcements &amp; Events page when clicking “View All"</t>
  </si>
  <si>
    <t>1. Scroll to the Announcements &amp; Events section on the homepage.
 2. Click the “View All” link located at the top right of the section.
 3. Observe the navigation and page conten</t>
  </si>
  <si>
    <t>1. Scroll to Announcement and events
 2. Click the “&lt;”, "&lt;&lt;" or “&gt;&gt;”, "&gt;" button to go to the last or first page
 3. Check if the data displayed on each page is accurate</t>
  </si>
  <si>
    <t>1. Scroll to the Announcements &amp; Events section on the homepage.
 2. Click the “View All” link located at the top right of the section.
 3. Click the "View" Button</t>
  </si>
  <si>
    <t>1. Scroll to Step by step guide
 2. Select and click Step by step guide User wanted to see</t>
  </si>
  <si>
    <t>1. Scroll to Step by step guide
 2. Click each tab one by one.
 3. Observe the displayed content.</t>
  </si>
  <si>
    <t>1. Scroll to Request for Services
 2. Click Arrow facing right</t>
  </si>
  <si>
    <t>1. Scroll to Process flow
 2. Click number to view the rest of the process flow</t>
  </si>
  <si>
    <t>Verify the column on Waste Collection Schedule
 1. Date
 2. Plate No.
 3. Klase ng Trak
 4. Driver
 5. Palero
 6. Kontraktor
 7. Route Schedule
 8. Status</t>
  </si>
  <si>
    <t>1. Scroll to Waste Collection Schedule
 2. Click Go to Waste collection</t>
  </si>
  <si>
    <t>1. Scroll to Waste Collection Schedule
 2. Click the “&gt;” or “&lt;” button to go to the next or previous page
 3. Click the “&gt;&gt;” or “&lt;&lt;” button to go to the last or first page
 4. Check if the data displayed on each page is accurate</t>
  </si>
  <si>
    <t>1. Scroll to Reference
 2. Click hyperlink button</t>
  </si>
  <si>
    <t>1. Scroll to Reference
 2. Click Download button</t>
  </si>
  <si>
    <t>1. Select the Client Type (e.g., Citizen, Business, or Government).
 2. Enter the Date of Appointment.
 3. Fill in the Age, Sex, Region of Residence, and Service Availed fields.
 4. Answer all questions under Citizen’s Charter (CC1 - CC3) by selecting the appropriate options.
 5. Complete all fields in the Service Quality Dimensions section by checking the appropriate boxes.
 6. Enter a suggestion or comment (optional).
 7. Click the Submit button.</t>
  </si>
  <si>
    <t>- The form should validate all required fields.
 - The submitted data should be saved and recorded in the system database.</t>
  </si>
  <si>
    <t>1. Open the login page.
 2. Enter a valid applicant username.
 3. Enter a valid password.
 4. Click the "Log In" button.
 5. Verify that the applicant is redirected to dashboard
 after logging in</t>
  </si>
  <si>
    <t>Validate that the email input must accept valid formats
 (numbers, letters, uppercase, lowercase)</t>
  </si>
  <si>
    <t>1. Go to the Login Page
 2. Enter different email formats
 (both valid and invalid).
 3. Verify that invalid formats for the login attempt
 are rejected with an error message.</t>
  </si>
  <si>
    <t>1. Go the the Login Page
 2. When entering the credentials,
 leave the email and/or password field blank.
 3. Click the "Log In" button.
 4. Verify that an error message appears
 prompting the user to fill in the missing fields.</t>
  </si>
  <si>
    <t>The system displays an error message:
 "email is required"
 "password is required"</t>
  </si>
  <si>
    <t>Verify that the login functionality works correctly across different
 browsers.</t>
  </si>
  <si>
    <t>1. Go the the Login Page using Chrome, Edge, and Opera
 2. Enter Credentials
 3. Click the "Log In" button.
 4. Verify that it can log in across different browsers</t>
  </si>
  <si>
    <t>When clicking the eye icon, the password
 will be displayed</t>
  </si>
  <si>
    <t>1. Open the Login Page
 2. Click the "Register as Environmental Clearance Applicant" button
 3. Input the email, password, and confirm password
 4. Click next
 5. Input the required fields, first name, last name,
 contact number, address, sex, and birthday
 6. Click submit</t>
  </si>
  <si>
    <t>1. Open the Login Page
 2. Click the "Register as Environmental Clearance Applicant" button
 3. Leave the form as blank
 4. Click next</t>
  </si>
  <si>
    <t>1. Open the Login Page
 2. Click the "Register as Environmental Clearance Applicant" button
 3. type an email incorrectly
 4. Click next</t>
  </si>
  <si>
    <t>1. Open the Login Page
 2. Click the "Register as Environmental Clearance Applicant" button
 3. type your password
 4. click password masked</t>
  </si>
  <si>
    <t xml:space="preserve">APPLICANT Dashboard </t>
  </si>
  <si>
    <t>Validate that the main announcement on the dashboard display actual announcement</t>
  </si>
  <si>
    <t>As an Applicant, I should be able to navigate to all my
 dispatched truck using the pagination</t>
  </si>
  <si>
    <t xml:space="preserve">APPLICANT WASTE COLLECTION </t>
  </si>
  <si>
    <t>- Applicant is logged in
 - Applicant is on the Waste Collection
 Module page</t>
  </si>
  <si>
    <t>Verify the columns in Garbage Collection and Disposal Request Table
 1. #
 2. Date and Time
 3. Request ID
 4. Applicant Type
 5. Status</t>
  </si>
  <si>
    <t>1. Navigate to Waste Collection page
 2. Scroll to Garbage Collection and Disposal Request Table
 3. Verify that it contains correct data</t>
  </si>
  <si>
    <t>The user should see the following column headers displayed correctly:
 - Date &amp; Time
 - Request ID
 - Applicant
 - Request Type
 - Service Location
 - Status
 - Action</t>
  </si>
  <si>
    <t>Verify that pagination works for garbage
 &amp; disposal requests Table.</t>
  </si>
  <si>
    <t>Verify that "No Data Found" is displayed
 when there are no requests or garbage
 collection records.</t>
  </si>
  <si>
    <t>1. Navigate to the side bar
 2. Click Waste collection Module</t>
  </si>
  <si>
    <t>- Waste collection schedule is displayed in
 list/table format.</t>
  </si>
  <si>
    <t>Verify the columns in Waste Collection Schedule table
 1. Date
 2. Plate No.
 3. Klase ng Trak
 4. Driver
 5. Palero
 6. Kontraktor
 7. Route Schedule
 8. Status</t>
  </si>
  <si>
    <t>Verify Applicant can add Garbage Collection and Disposal Request</t>
  </si>
  <si>
    <t>- Applicant is logged in.
 - Applicant is on the Garbage Collection
 &amp; Disposal Request form page.</t>
  </si>
  <si>
    <t>The system should redirect and load the Garbage Collection
 &amp; Disposal Request Form page</t>
  </si>
  <si>
    <t>Verify applicant can add from the following request type
 1. Special Waste Collection
 2. Regular Household Waste Collection
 3. Waterways Management
 4. Hazardous Waste Management
 5. Street Cleaning Services</t>
  </si>
  <si>
    <t>1. Locate the Request Type radio button list.
 2. Click on each request type option one by one:
 -Special Waste Collection
 -Regular Household Waste Collection
 -Waterways and street cleaning services
 -Hazardous Waste Management
 -Street Cleaning Services</t>
  </si>
  <si>
    <t>- Only one option can be selected at a time.
 - The selected option should be highlighted or
 marked with a filled radio button.</t>
  </si>
  <si>
    <t>Verify that the applicant can click on the different type of 'Special Waste Collection' options, if selected.
 1. Yard Waste
 2. Debris
 3. Litters
 4. Bulk Waste
 5.Soil Mounds, Sands, Grass, Weedings
 6.Fine Waste
 7.Canal Waste
 8.Construction Materials
 9.Trimmings
 10. Special Waste from Other Operations</t>
  </si>
  <si>
    <t>1. Locate the Special Waste Type radio button list.
 2. Click on each request type option one by one:</t>
  </si>
  <si>
    <t>Verify the Add from the following fields
 1. Name/ Establishment Name
 2.Contact Number
 3. Email (Optional)
 4. Waste Description
 5. Location Address
 6. Preferred Collection Schedule
 7. Supporting Documents (Optional)</t>
  </si>
  <si>
    <t>1. Locate all the text fields
 2. Click the text fields if fillable</t>
  </si>
  <si>
    <t>- The field should accept alphabetic characters
 and spaces.
 - Validation error should appear for invalid inputs.</t>
  </si>
  <si>
    <t>- Field accepts only numbers within the allowed
 length.
 - Validation message should appear for invalid
 inputs.</t>
  </si>
  <si>
    <t>Verify that the optional email field accepts
 valid email formats.</t>
  </si>
  <si>
    <t>Verify that the Waste Description field accepts
 descriptive text.</t>
  </si>
  <si>
    <t>Verify that the Location Address field accepts
 input.</t>
  </si>
  <si>
    <t>- Field accepts alphanumeric text and special
 characters like commas.
 - Validation appears if left empty</t>
  </si>
  <si>
    <t>Verify that the applicant can select preferred
 collection days and times.</t>
  </si>
  <si>
    <t>Verify that the applicant can complete and
 submit the "Special Waste Collection"
 request form with file upload.</t>
  </si>
  <si>
    <t>1. Click Special Waste Collection in the Request Type list.
 2. Fill in Special Waste Type.
 3. Enter Waste Description.
 4. Enter Location Address.
 5. Enter Name / Establishment Name.
 6. Enter Contact Number.
 7. Enter Email.
 9. Click Choose File and upload a supporting
 document (optional).
 10. Select Preferred Collection Schedule
 (day and time range).
 11. Click Submit.</t>
  </si>
  <si>
    <t>-All filled information is saved successfully.
 -System accepts file upload in allowed formats.
 -Confirmation message appears indicating
 the request has been submitted.</t>
  </si>
  <si>
    <t>Verify that the applicant can close the request
 form using the Close button</t>
  </si>
  <si>
    <t>- The request form closes.
 - Applicant is returned to the previous page without
 submitting the form.</t>
  </si>
  <si>
    <t>Verify that a success message is displayed after
 successfully submitting the request form.</t>
  </si>
  <si>
    <t>Verify that the applicant is required to fill out a
 Client Satisfaction Measurement (CSM) form</t>
  </si>
  <si>
    <t>- Applicant is logged in.
 - Applicant is on the Garbage Collection
 &amp; Disposal Request form page.
 - Applicant is on Client Satisfaction Survey Frame</t>
  </si>
  <si>
    <t>- A CSM form is displayed.
 - Cannot skip or bypass the form.
 - After submission, a confirmation will
 popped out "Created"
 - If the form is not filled, user cannot
 create form.</t>
  </si>
  <si>
    <t xml:space="preserve">APPLICANT ENVIRONMENTAL CLEARANCE </t>
  </si>
  <si>
    <t>Verify Applicant can view Dashboard Under environmental clearance sub module</t>
  </si>
  <si>
    <t>-Applicant is logged in into the system.
 -Applicant has access to the Environmental
 Clearance Submodule
 -Applicant has access to GHG.</t>
  </si>
  <si>
    <t>1. Navigate to Transaction
 2. Click down arrow in Environmental Clerance
 3. Click Greenhouse Gas (GHG) Certificate Issuance</t>
  </si>
  <si>
    <t>- Applicant has access to GHG
 -GHG page displayed</t>
  </si>
  <si>
    <t>1. Click the GHG Tab.
 2. Click the "Apply for GHG Certificate"
 3. Fill-up the given form then Click the SUBMIT button.
 4. Check if the data filed was correct.</t>
  </si>
  <si>
    <t>Verify that the Applicant can select GHG
 Application Type (New or Renewal)</t>
  </si>
  <si>
    <t>- Applicant is able to successfully select
 either "New" or "Renewal" in the
 Application Type field.</t>
  </si>
  <si>
    <t>Verify that the Applicant can upload a file in
 GHG Annual Emission Report</t>
  </si>
  <si>
    <t>1. Navigate to the Annual Emission Report section in
 the GHG application form.
 2. Click on the "Choose File" button.
 3. Select a valid file from local drive.</t>
  </si>
  <si>
    <t>-The file is successfully attached and
 visible next to the "Choose File" button.</t>
  </si>
  <si>
    <t>Verify that the Submit button in
 the GHG form is working</t>
  </si>
  <si>
    <t>-The form is successfully submitted
 without any errors.</t>
  </si>
  <si>
    <t>Verify that the Cancel button in the
 GHG form is working</t>
  </si>
  <si>
    <t>Verify that if Application Type is 'New',
 Inventory Report form requires filling
 Annual Emission questions.</t>
  </si>
  <si>
    <t>Verify that Applicant can attach a file to
 the Request Form</t>
  </si>
  <si>
    <t>1. Click on "Choose File" in the Request Form section
 -GHG Annual Emissions Report.
 2. Select and upload a valid file.</t>
  </si>
  <si>
    <t>-File is successfully attached and
 displayed.</t>
  </si>
  <si>
    <t>Verify that after submitting, the Application is
 visible in GHG Application Table.</t>
  </si>
  <si>
    <t>Verify that in GHG page list Applicant can
 view the details of there report form.</t>
  </si>
  <si>
    <t>- Displayes the Application form,
 Applicant can see details such as name,
 application type, status, and date
 submitted.</t>
  </si>
  <si>
    <t>Verify that the applicant is required to fill out a
 Client Satisfaction Measurement (CSM) form
 before continuing with payment</t>
  </si>
  <si>
    <t>-A CSM form is displayed.
 - Cannot skip or bypass the form.
 - After submission, a confirmation will
 popped out "Created"
 - If the form is not filled, user cannot
 create form.</t>
  </si>
  <si>
    <t>-A confirmation message appears saying
 'Record Created Successfully' with a
 "Continue" button.</t>
  </si>
  <si>
    <t>-Application User is logged in into the system.
 -Applicant has access to the Environmental Clearance Submodule
 -Applicant has access to GHG.
 -Applicant can submit form to GHG to requests for Certificate
 -Applicant can ensure the CORRECT DATA.</t>
  </si>
  <si>
    <t>1. Log in as an Applicant User.
 2. Navigate the module.
 3. Access the Environmental Clearance Submodel
 4. Click the GHG Tab.
 5. Click the "Apply for GHG Certificate"
 6. Fill-up the given formn then Click the SUBMIT button.
 7. Check if the data filed was correct.</t>
  </si>
  <si>
    <t>Verify that the pagination buttons
 (“&gt;”, “&lt;”, “&gt;&gt;”, “&lt;&lt;”) are clickable and
 navigate through the Violation Ticket
 Issuance</t>
  </si>
  <si>
    <t>-Application User is logged in into the system.
 -Applicant has access to the Environmental Clearance Submodule
 -Applicant has access to GHG.
 -Applicant can submit form to GHG to requests for Certificate
 -Applicant can ensure the CORRECT DATA.
 -Applicant can ensure the pagination is accesible.</t>
  </si>
  <si>
    <t>1. Locate the GHG page
 2. Click the “&gt;” or “&lt;” button to go to the next or
 previous page
 3. Click the “&gt;&gt;” or “&lt;&lt;” button to go to the last or
 first page
 4. Check if the data displayed on each page is
 accurate</t>
  </si>
  <si>
    <t>- All pagination buttons are clickable
 - “&gt;” and “&lt;” navigate to the
 next/previous page
 - “&gt;&gt;” and “&lt;&lt;” navigate to the last/first
 page
 - Each page displays accurate and
 expected
 Violation Ticket Issuance data</t>
  </si>
  <si>
    <t>Verify that the Applicant can access the
 environmental Clearance Submodule Noise Pollution Compliance Certificate</t>
  </si>
  <si>
    <t>Verify that the Applicant can open the
 Inspection Request form</t>
  </si>
  <si>
    <t>- Applicant is logged in
 - Applicant is on the "Noise
 Pollution Compliance Certificate"
 page</t>
  </si>
  <si>
    <t>1. Click the "Apply for Noise Pollution Compliance
 Certificate" button</t>
  </si>
  <si>
    <t>- The Inspection Request Form tab
 opens</t>
  </si>
  <si>
    <t>Verify that the Applicant can cancel the
 Inspection Request</t>
  </si>
  <si>
    <t>- Applicant is logged in
 - Applicant is on the "Noise
 Pollution Compliance Certificate"
 page
 - Applicant is in the "Inspection
 Request Form" tab</t>
  </si>
  <si>
    <t>Verify validation messages for required
 fields</t>
  </si>
  <si>
    <t>- Validation messages are shown for
 each required field</t>
  </si>
  <si>
    <t>Verify email and contact number format
 validation</t>
  </si>
  <si>
    <t>- Appropriate error messages appear
 beside invalid fields</t>
  </si>
  <si>
    <t>Verify pollution type dropdown displays all
 options</t>
  </si>
  <si>
    <t>- Options displayed: Noise Pollution,
 Water Pollution, Air Pollution</t>
  </si>
  <si>
    <t>Verify selection of a pollution type from
 dropdown</t>
  </si>
  <si>
    <t>Verify business operating days &amp; hours
 selection</t>
  </si>
  <si>
    <t>- Selected days are highlighted and
 hours are correctly recorded</t>
  </si>
  <si>
    <t>Verify that the user can submit a valid
 Inspection Request</t>
  </si>
  <si>
    <t>Verify that a new record is added to the table
 after successful submission</t>
  </si>
  <si>
    <t>- Applicant is logged in
 - Applicant is on the "Noise
 Pollution Compliance Certificate"
 page
 - Applicant is in the "Inspection
 Request Form" tab
 - At least one (1) valid
 submission exist</t>
  </si>
  <si>
    <t>1. Submit a valid Inspection Request
 2. Return to "Noise Pollution Compliance Certificate
 (NPCC)" tab/list</t>
  </si>
  <si>
    <t>- New entry appears in the table with
 correct details</t>
  </si>
  <si>
    <t>Verify pagination and table view when
 multiple records exist</t>
  </si>
  <si>
    <t>- Applicant is logged in
 - Applicant is on the "Noise
 Pollution Compliance Certificate"
 page
 - Applicant is in the "Inspection
 Request Form" tab
 - Ten (10) or more records are
 added</t>
  </si>
  <si>
    <t>Verify that the Applicant can access the
 environmental Clearance Submodule Other Services</t>
  </si>
  <si>
    <t>-Applicant is logged in into the
 system.
 -Applicant has access to the
 Environmental Clearance
 Submodule
 -Applicant has access to
 Request for Inspection tab</t>
  </si>
  <si>
    <t>1. Navigate to Transaction
 2. Click down arrow in Environmental Clerance
 3. Click Request for Inspection</t>
  </si>
  <si>
    <t>The Applicant user is able to view
 relevant data in Environmental
 Clerance able to view the following:
 1. Applicant has access to
 EnvironmentalClearance Submodule.
 2. Applicant has access to Request
 for Inspection tab</t>
  </si>
  <si>
    <t>Verify that the Applicant can use the
 Request for Inspection button</t>
  </si>
  <si>
    <t>-Applicant is logged in into the
 system.
 -Applicant has access to the
 EnvironmentalClearance
 Submodule
 -Applicant has access to
 Request for Inspection tab</t>
  </si>
  <si>
    <t>1. Navigate to Transaction
 2. Click down arrow in Environmental Clerance
 3. Click Request for Inspection
 4. Click the Request for Inspection button</t>
  </si>
  <si>
    <t>The Applicant is able to view a modal
 form containing:
 1. Request and Complaint toggle
 buttons
 2. Service Type options
 3. Business Information section and etc.</t>
  </si>
  <si>
    <t>Verify that the user can cancel the
 Inspection Request</t>
  </si>
  <si>
    <t>-Applicant is logged in into the
 system.
 -Applicant has access to the
 EnvironmentalClearance
 Submodule
 -Applicant has access to
 Request for Inspection tab
 - "Other Services" tab is open
 - Request tab is open</t>
  </si>
  <si>
    <t>1. Navigate to Transaction
 2. Click down arrow in Environmental Clerance
 3. Click Request for Inspection
 4. Click the Request for Inspection button
 5. Click the "Close" button</t>
  </si>
  <si>
    <t>Verify that the user can switch from
 Request to Complaint tab</t>
  </si>
  <si>
    <t>1. Navigate to Transaction
 2. Click down arrow in Environmental Clerance
 3. Click Request for Inspection
 4. Click the "Complaint" button</t>
  </si>
  <si>
    <t>Verify that the user can switch from
 Complaint to Request tab</t>
  </si>
  <si>
    <t>-Applicant is logged in into the
 system.
 -Applicant has access to the
 EnvironmentalClearance
 Submodule
 -Applicant has access to
 Request for Inspection tab
 - "Other Services" tab is open
 - Complaint tab is open</t>
  </si>
  <si>
    <t>1. Navigate to Transaction
 2. Click down arrow in Environmental Clerance
 3. Click Request for Inspection
 4. Click the "Request for Inspection" button</t>
  </si>
  <si>
    <t>Verify that switching tabs resets any
 entered form data</t>
  </si>
  <si>
    <t>1. Navigate to Transaction
 2. Click down arrow in Environmental Clerance
 3. Click Request for Inspection
 4. Click the "Request" button
 5. Enter sample data in fields
 6. Switch to Complaint tab
 7. Switch back to Request</t>
  </si>
  <si>
    <t>Verify that the Applicant can upload
 Supporting Documents</t>
  </si>
  <si>
    <t>-Applicant is logged in into the
 system.
 -Applicant has access to the
 EnvironmentalClearance
 Submodule
 -Applicant has access to
 Requestfor Inspection tab
 -Applicant open the Request for
 Inspection form</t>
  </si>
  <si>
    <t>Click the “Choose File” button in the Supporting
 Documents section and upload a file.</t>
  </si>
  <si>
    <t>The system allows the applicant to
 select a file from their device, and the
 selected file name is displayed next to
 the "Choose File" button, indicating
 successful attachment.</t>
  </si>
  <si>
    <t>-Applicant is logged in into the
 system.
 -Applicant has access to the
 EnvironmentalClearance
 Submodule
 -Applicant has access to
 Requestfor Inspection tab
 -Applicant open the Request for
 Inspection form
 -Applicant Submit the request</t>
  </si>
  <si>
    <t>The applicant is able to enter valid
 information into each required field
 without errors. All input fields accept data
 as expected (e.g., text fields, rating
 scales, dropdowns, etc.).</t>
  </si>
  <si>
    <t>Verify that after the applicant submits the
 "Help Us Serve You Better" form, the system
 displays a confirmation message:
 "Record created successfully!"</t>
  </si>
  <si>
    <t>After the applicant submits the "Help Us
 Serve You Better" form, the system
 displays a success message:
 "Record created successfully!"
 This confirms that the feedback or
 input has been saved successfully.</t>
  </si>
  <si>
    <t>-Applicant is logged in into the
 system.
 -Applicant has access to the
 EnvironmentalClearance
 Submodule
 -Applicant has access to
 Requestfor Inspection tab</t>
  </si>
  <si>
    <t>1. Navigate to Transaction
 2. Click down arrow in Environmental Clerance
 3. Click Request for Inspection
 4. Check the Inspection Request table</t>
  </si>
  <si>
    <t>The applicant is able to view the
 Inspection Request table displaying
 accurate and complete information,
 including request details such as date,
 status, service type, and any relevant
 actions.</t>
  </si>
  <si>
    <t>Verify that the pagination buttons
 (“&gt;”, “&lt;”, “&gt;&gt;”, “&lt;&lt;”) are clickable</t>
  </si>
  <si>
    <t>- Make necessary inputs required
 - Click on "Choose File" and verify if files will be taken and saved.
 - Click on the "submit" button and check if data inputs are saved.</t>
  </si>
  <si>
    <t xml:space="preserve">APPLICANT ENVIRONMENTAL ORDINANCE VIOLATION </t>
  </si>
  <si>
    <t>1. Login as Applicant
 2. From the main Dashboard, locate and click Environmental
 Ordinance Violation module
 3. Check that the module loads successfully</t>
  </si>
  <si>
    <t>- Environmental Ordinance Violation module
 loads successfully</t>
  </si>
  <si>
    <t>Verify the column on Order of Payment Table
 1. #
 2. Date Issued
 3. COVR No.
 4. Violation Type
 5. Ordinance/EO
 6. Violator Name/Establishment
 7. Customer Type
 8. Address
 9. Date of payment
 10. Ammount Due (₱)
 11. Payment Status
 12. Action</t>
  </si>
  <si>
    <t>- Applicant is logged in
 - Applicant is on the Environmental
 Ordinance Violation page</t>
  </si>
  <si>
    <t>1. Login as Applicant
 2. From the main Dashboard, locate and click Environmental
 Ordinance Violation module
 3. Check that the module loads successfully
 4. Verify the column on Order of Payment Table</t>
  </si>
  <si>
    <t>- Applicant should see accurate violation
 and payment records in the table
 1. #
 2. Date Issued
 3. COVR No.
 4. Violation Type
 5. Ordinance/EO
 6. Violator Name/Establishment
 7. Customer Type
 8. Address
 9. Date of payment
 10. Ammount Due (₱)
 11. Payment Status
 12. Action</t>
  </si>
  <si>
    <t>Verify that the Print OVR button is visible and
 functions correctly based on the payment
 status</t>
  </si>
  <si>
    <t>1. Go to the Order of Payment tab
 2. Locate entries with various Payment Status
 (e.g., Paid, Pending, Unpaid)
 3. Check if the Pay button is visible only for applicable
 statuses
 4. Click the Pay button for an Unpaid record</t>
  </si>
  <si>
    <t>- Pay button is visible only for Unpaid and
 Pending statuses
 - No Pay button for Paid status
 - Clicking Pay redirects to the appropriate
 payment process/form</t>
  </si>
  <si>
    <t>Verify that the pagination buttons
 (“&gt;”, “&lt;”, “&gt;&gt;”, “&lt;&lt;”) are clickable and
 navigate through the Order of Payment</t>
  </si>
  <si>
    <t>- All pagination buttons are clickable
 - “&gt;” and “&lt;” navigate to the next/previous
 page
 - “&gt;&gt;” and “&lt;&lt;” navigate to the last/first
 page
 - Each page displays accurate and expected
 Order of Payment data</t>
  </si>
  <si>
    <t>Verify that the applicant can view
 the violation summary and its contents
 1. Status
 2. Name
 3. Sex
 4. Contact Number
 5. Nationality
 6. Address
 7. Ticket Id
 8, Date Issued
 9. Customer Type
 10. Violator Name/Estabishment
 11. COVR No.
 12. Date of Payment
 13. Transient
 14. Place of Apprehension
 15. Supporting Document
 16. Ordinance
 17. Fines Per Violation
 18. Violations
 19. Penalty
 20. Total</t>
  </si>
  <si>
    <t>- Applicant is logged in into the system
 - Applicant is on the Environmental
 Ordinance Violation page
 -Applicant is on Violation Summary Page</t>
  </si>
  <si>
    <t>1. Log in as an Applicant user
 2. Click the Environmental Ordinance Violation Module
 3. Navigate to the Violations section table.
 4. Click on Violation.</t>
  </si>
  <si>
    <t>-The summary of the violation form is displayed.
 - It shows the violation details.
 1. Status
 2. Name
 3. Sex
 4. Contact Number
 5. Nationality
 6. Address
 7. Ticket Id
 8, Date Issued
 9. Customer Type
 10. Violator Name/Estabishment
 11. COVR No.
 12. Date of Payment
 13. Transient
 14. Place of Apprehension
 15. Supporting Document
 16. Ordinance
 17. Fines Per Violation
 18. Violations
 19. Penalty
 20. Total</t>
  </si>
  <si>
    <t>-Status field is visible and reflects the
 correct status</t>
  </si>
  <si>
    <t>Verify that the applicant can view the supporting
 documents for a violation</t>
  </si>
  <si>
    <t>- Applicant is logged in into the system
 - Applicant is on the Environmental
 Ordinance Violation page</t>
  </si>
  <si>
    <t>Email</t>
  </si>
  <si>
    <t>Password</t>
  </si>
  <si>
    <t>Admin</t>
  </si>
  <si>
    <t>Applicant</t>
  </si>
  <si>
    <t xml:space="preserve">
</t>
  </si>
  <si>
    <t xml:space="preserve">Verify that  Admin can view Environmental
Ordinance Violation Summary
and change violation status
</t>
  </si>
  <si>
    <t xml:space="preserve">1. Click the "Environmental Orinance Violation" module
2. Click an existing violation record to view details
3. View violation summary including Invoice No., Date,
Amounts, and Violation details
4. Click the status dropdown beside "Pending"
5. Change the status to either Paid or Overdue
6. Click "Submit" to save changes </t>
  </si>
  <si>
    <t>- An admin can view full violation 
summary with invoice and penalty
details
- Status dropdown show options with
proper color coding
- Status chnage is save and reflected
after submission</t>
  </si>
  <si>
    <t>Design in Figma is different from the 
current build setting, this to Failed
Upon clicking the Env Clearance GHG tab,
 the Inspection Request is displayed 
immediately instead of the dashboard.</t>
  </si>
  <si>
    <t xml:space="preserve">Created a request however the request created is not showing </t>
  </si>
  <si>
    <t xml:space="preserve">- Applicant is logged in into the system
- Applicant is on the Environmental 
Ordinance Violation page
-QR code payment method is enabled.
-Applicant has a mobile payment app installed.
</t>
  </si>
  <si>
    <t xml:space="preserve">
1. Select QR Code as payment method.
2. QRph code is generated and ready to scann.
3. Scan QRph code using mobile app.
</t>
  </si>
  <si>
    <t xml:space="preserve">
-Payment status shows "Paid".</t>
  </si>
  <si>
    <t xml:space="preserve">
1. Navigate to Violation lists
2. Locate the paid violation
</t>
  </si>
  <si>
    <t xml:space="preserve">
-Violation status is marked as "Paid".
-No pending payment flag remains.
</t>
  </si>
  <si>
    <t xml:space="preserve">
1. Complete payment for a violation.
2. Observe the confirmation screen.
</t>
  </si>
  <si>
    <t xml:space="preserve">
-A "Go Back" button is present.
-Clicking it returns user to violation summary</t>
  </si>
  <si>
    <t xml:space="preserve">Verify that the applicant can cancel the 
payment process with a confirmation message.
</t>
  </si>
  <si>
    <t xml:space="preserve">
1. Go to the Violations list.
2. Click Pay Fine on an unpaid violation
3. On the payment screen, click the Cancel button.
4. Observe the system message.
</t>
  </si>
  <si>
    <t xml:space="preserve">
- A confirmation message appears.
- Options like "Yes" and "Go Back" are shown.
- If the user clicks Yes, the system exits the 
payment screen and returns to the previous page.
- No payment is processed.</t>
  </si>
  <si>
    <t xml:space="preserve">- Applicant is logged in into the system
- Applicant is on the Environmental 
Ordinance Violation page
-Applicant has selected a violation to pay.
-System is configured to display 
a CSM form before payment.
</t>
  </si>
  <si>
    <t xml:space="preserve">1. Go to the Violations section.
2.Click Pay Fines on an unpaid violation.
3.Observe the system’s behavior before reaching the
 payment options.
4.Fill out the Client Satisfaction Measurement (CSM) form.
5.Submit the form 
</t>
  </si>
  <si>
    <t xml:space="preserve">
-A CSM form is displayed.
- Cannot skip or bypass the form.
- After submission, the applicant is redirected 
to the payment options screen.
- If the form is not filled, user cannot proceed 
to payment.</t>
  </si>
  <si>
    <t>Verify that applicant can create a request 
violation</t>
  </si>
  <si>
    <t>1. Click Request Violation tab
2. Fill in required fields like name, violation type, description
3. Click Submit</t>
  </si>
  <si>
    <t>- A new violation request is submitted 
successfully and appears in the list</t>
  </si>
  <si>
    <t>Validate required field warnings when 
submitting</t>
  </si>
  <si>
    <t>1. Click Request Violation tab
2. Leave one or more required fields empty
3. Click Submit</t>
  </si>
  <si>
    <t>- Field-level error messages appear,
 preventing form submission</t>
  </si>
  <si>
    <t>Verify that the ticket table is displayed</t>
  </si>
  <si>
    <t>1. Go to the Environmental Ordinance Violation module
2. Locate the Violation Ticket Issuance Table section</t>
  </si>
  <si>
    <t>- Violation Ticket Issuance Table is visible and
displays a list of violations with relevant details</t>
  </si>
  <si>
    <t>Verify Search functionality in Violation Ticket 
Issuance</t>
  </si>
  <si>
    <t>1. Locate the Violation Ticket Issuance Table section
2. Enter a value (e.g., violator name, ticket ID, date, etc.) 
in the Search bar
3. Press Enter</t>
  </si>
  <si>
    <t>- Results are filtered to match the search query</t>
  </si>
  <si>
    <t>Verify Filter by violation type/status</t>
  </si>
  <si>
    <t>1. Locate the Violation Ticket Issuance Table section 
2. Click Filter dropdown
3. Select a status
4. Apply filter</t>
  </si>
  <si>
    <t>- Table updates to show only matching entries</t>
  </si>
  <si>
    <t>1. Locate the Violation Ticket Issuance Table section 
2. Click the “&gt;” or “&lt;” button to go to the next or previous page
3. Click the “&gt;&gt;” or “&lt;&lt;” button to go to the last or first page
4. Check if the data displayed on each page is accurate</t>
  </si>
  <si>
    <t>- All pagination buttons are clickable
- “&gt;” and “&lt;” navigate to the next/previous page
- “&gt;&gt;” and “&lt;&lt;” navigate to the last/first page
- Each page displays accurate and expected 
Violation Ticket Issuance data</t>
  </si>
  <si>
    <t>Ensure "Requesting Violation" is functional and is saved in the database</t>
  </si>
  <si>
    <t>1. Input necessary information 
2. Click "submit"</t>
  </si>
  <si>
    <t>- Data should be present in the "Violation Ticket Inssuance" list</t>
  </si>
  <si>
    <t xml:space="preserve">Verify if "Violation Summary" is accurate and "Supporting Documents" are accessible </t>
  </si>
  <si>
    <t>1. view "Violation Summary" 
2. verify information and click on "supporting documents"</t>
  </si>
  <si>
    <t>- Data should be accurate and supporting documents should be accessible</t>
  </si>
  <si>
    <t>The Add button is not functioning , 
no action occurs upon clicking.</t>
  </si>
  <si>
    <t>Clicking the View feature does not 
trigger any response or display the 
expected content.</t>
  </si>
  <si>
    <t>When the filter is clicked, an error 
message is displayed: "Application error: 
a client-side exception has occurred while 
loading makati-waste-fe.azurewebsites.net 
(see the browser console for more
 information)."</t>
  </si>
  <si>
    <t>Clicking the Delete button does not
 trigger any response or remove the 
item as expected.</t>
  </si>
  <si>
    <t>Upon clicking the Add button, the 
following error was displayed:
Application error: a client-side 
exception has occurred while loading 
makati-waste-fe.azurewebsites.net 
(see the browser console for more
information).</t>
  </si>
  <si>
    <t xml:space="preserve">There’s no data shown, and the following
error is displayed:
Error loading data: Request failed with
status code 500
The Delete button is not functioning, no
action occurs upon clicking.
</t>
  </si>
  <si>
    <t>The "Import" button is not responding.</t>
  </si>
  <si>
    <t>The Export Button is not responding.
There’s no data shown, and the following
error is displayed:
Error loading data: Request failed with
status code 500</t>
  </si>
  <si>
    <t>There’s no data shown, and the following
error is displayed:
Error loading data: Request failed with
status code 500</t>
  </si>
  <si>
    <t>Upon clicking the Filter button, the 
following error was displayed:
Application error: a client-side 
exception has occurred while loading 
makati-waste-fe.azurewebsites.net 
(see the browser console for more
information).</t>
  </si>
  <si>
    <t>There’s no data shown/pagination buttons, and the following error is displayed:
Error loading data: Request failed with
status code 500</t>
  </si>
  <si>
    <t>There’s no data shown, and the following error is displayed:
Error loading data: Request failed with
status code 500</t>
  </si>
  <si>
    <t xml:space="preserve">There’s no data shown, and the following error is displayed:
Error loading data: Request failed with
status code 500
</t>
  </si>
  <si>
    <t>Previous Remarks:
The role of user remains the same upon 
saving with the new role.</t>
  </si>
  <si>
    <r>
      <rPr>
        <b/>
        <sz val="10"/>
        <color theme="1"/>
        <rFont val="Arial"/>
      </rPr>
      <t>Dev note:</t>
    </r>
    <r>
      <rPr>
        <sz val="10"/>
        <color theme="1"/>
        <rFont val="Arial"/>
      </rPr>
      <t xml:space="preserve">
There is a role that has the same value. You can try another role.</t>
    </r>
  </si>
  <si>
    <r>
      <rPr>
        <b/>
        <sz val="10"/>
        <color theme="1"/>
        <rFont val="Arial"/>
      </rPr>
      <t>Dev note:</t>
    </r>
    <r>
      <rPr>
        <sz val="10"/>
        <color theme="1"/>
        <rFont val="Arial"/>
      </rPr>
      <t xml:space="preserve">
Upon checking its already working you can try to test again.</t>
    </r>
  </si>
  <si>
    <t xml:space="preserve">Do a retest with this and upon checking it is working  - Jonathan </t>
  </si>
  <si>
    <r>
      <rPr>
        <b/>
        <sz val="10"/>
        <color theme="1"/>
        <rFont val="Arial"/>
      </rPr>
      <t>Dev note:</t>
    </r>
    <r>
      <rPr>
        <sz val="10"/>
        <color theme="1"/>
        <rFont val="Arial"/>
      </rPr>
      <t xml:space="preserve">
Upon checking its already working you can try to test again.</t>
    </r>
  </si>
  <si>
    <t xml:space="preserve">"There’s no data shown, and the following error is displayed:
Error loading data: Request failed with
status code 500"
</t>
  </si>
  <si>
    <t xml:space="preserve">1. Log in as admin in the system
2. Go to the Waste Collection module
3. Go to the GPS tracker
</t>
  </si>
  <si>
    <t>Adding the account still proceeds with ID number that contains letters</t>
  </si>
  <si>
    <t>The LOGIN process is working smoothly</t>
  </si>
  <si>
    <t>When the page is loaded "Error loading data: Request failed with status code 500" is shown.</t>
  </si>
  <si>
    <t>Searching for existing Index number displays "No Data Found"</t>
  </si>
  <si>
    <t>Searching for Role displays inaccurate results</t>
  </si>
  <si>
    <r>
      <rPr>
        <b/>
        <sz val="10"/>
        <color theme="1"/>
        <rFont val="Arial"/>
      </rPr>
      <t>Dev note:</t>
    </r>
    <r>
      <rPr>
        <sz val="10"/>
        <color theme="1"/>
        <rFont val="Arial"/>
      </rPr>
      <t xml:space="preserve">
Upon checking its already working you can try to test again.</t>
    </r>
  </si>
  <si>
    <t>[QA] Did a re test and its working now</t>
  </si>
  <si>
    <t>Searching for Description displays inaccurate results</t>
  </si>
  <si>
    <r>
      <rPr>
        <b/>
        <sz val="10"/>
        <color theme="1"/>
        <rFont val="Arial"/>
      </rPr>
      <t>Dev note:</t>
    </r>
    <r>
      <rPr>
        <sz val="10"/>
        <color theme="1"/>
        <rFont val="Arial"/>
      </rPr>
      <t xml:space="preserve">
Upon checking its already working you can try to test again.</t>
    </r>
  </si>
  <si>
    <t>Upon searching for an existing index number (#), the system returns a 'No Data Found' message.</t>
  </si>
  <si>
    <t>Unable to test. "Error loading data: Request failed with status code 500"</t>
  </si>
  <si>
    <t>1. Login Makati WMS Account
2. Go to System Management
3. Click Division Management
4. Click on the "Next, previous" button</t>
  </si>
  <si>
    <t xml:space="preserve">1.) No data is being displayed, "Error loading data: Request failed with status code 500" is displayed instead.
2.) No data is being displayed, "Error loading data: Request failed with status code 500" is displayed instead.
3.) No clickable button
4.) No clickable button
5.) No clickable button
</t>
  </si>
  <si>
    <t>Admin can't view GHG Certificate Inssuance table</t>
  </si>
  <si>
    <t>Admin can't access Business Establishment table</t>
  </si>
  <si>
    <t>Admin can't access Application Reports tab</t>
  </si>
  <si>
    <t xml:space="preserve">
"Error loading data: Request failed with status code 500" is displayed
</t>
  </si>
  <si>
    <t>Admin can't access Tricycle Operator table</t>
  </si>
  <si>
    <t xml:space="preserve">"Error loading data: Request failed with status code 500" is displayed
</t>
  </si>
  <si>
    <t>Admin can't access Noise Pollution Compliance Certificate section</t>
  </si>
  <si>
    <t>Admin can't access Request for Inspection submodule</t>
  </si>
  <si>
    <t>Admin can't access Request for Inspection table</t>
  </si>
  <si>
    <t>Admin can't access the Request for Inspection Mission Orders &amp; Inspection Reports section</t>
  </si>
  <si>
    <t>Admin can't access the Request for Inspection Table</t>
  </si>
  <si>
    <r>
      <rPr>
        <b/>
        <sz val="10"/>
        <color theme="1"/>
        <rFont val="Arial"/>
      </rPr>
      <t>Dev note:</t>
    </r>
    <r>
      <rPr>
        <sz val="10"/>
        <color theme="1"/>
        <rFont val="Arial"/>
      </rPr>
      <t xml:space="preserve">
Upon checking its already working you can try to test again.</t>
    </r>
  </si>
  <si>
    <t>Current UI of the website is different from the design based on figma</t>
  </si>
  <si>
    <t>Error loading announcements: Request failed with status code 500</t>
  </si>
  <si>
    <t>Error loading announcements: Request failed with status code 501</t>
  </si>
  <si>
    <t>Error loading announcements: Request failed with status code 502</t>
  </si>
  <si>
    <t>Error loading announcements: Request failed with status code 503</t>
  </si>
  <si>
    <t>Insufficient data to test</t>
  </si>
  <si>
    <t>The time selection dropdown remains visible after selecting a desired time.</t>
  </si>
  <si>
    <t>- Error loading data: Request failed with status code 500
- After clicking Submit, the first page of creating GHG reappears briefly.</t>
  </si>
  <si>
    <t>Error loading data: Request failed with status code 500</t>
  </si>
  <si>
    <t>- There is no warning/ error message displayed in the Taxpayer's Name field when it is left blank.</t>
  </si>
  <si>
    <t>There was no Download Application shown to select after clicking Environmental clearance forms</t>
  </si>
  <si>
    <t>The Login Process and the fill out process is working smoothly. When loaded the page it shows this message "Error loading data: Request failed with status code 500".</t>
  </si>
  <si>
    <t>Upon searching for an existing ID number, the system returns a 'No Data Found' message.</t>
  </si>
  <si>
    <t>There’s no data shown, and the following 
error is displayed:
Error loading data: Request failed with
status code 500</t>
  </si>
  <si>
    <t>Previous Remarks:
Upon searching for an existing ID number,
the system returns a 'No Data Found' message.</t>
  </si>
  <si>
    <t xml:space="preserve">APPLICANT / TAXPAYER TRANSACTION MODULE: ENVIRONMENTAL CLERANCE </t>
  </si>
  <si>
    <t>Submodule is visible but there is an error
 that displays "Error loading data: Request 
failed with status code 500"</t>
  </si>
  <si>
    <t>The click down button and GHG forms are
showing  but there is an error that displays
"Error loading data: Request 
failed with status code 500"</t>
  </si>
  <si>
    <t xml:space="preserve">The form is submitted successfully but the
following error is displayed:
Error loading data: Request failed with
status code 500"
</t>
  </si>
  <si>
    <t>The Cancel Button is working but there is
an error on table page that displays "Error
loading data: Request failed with status
code 500"</t>
  </si>
  <si>
    <t>Applicant can open the inspection request form but there is an error
 that displays "Error loading data: Request failed with
 status code 500"</t>
  </si>
  <si>
    <t>Shows “Error loading data: 
Request failed with status code 500”
 instead of displaying the data.</t>
  </si>
  <si>
    <t>APPLICANT / TAXPAYER ENVIRONMENTAL ORDINANCE VIOLATION</t>
  </si>
  <si>
    <r>
      <rPr>
        <b/>
        <sz val="10"/>
        <color theme="1"/>
        <rFont val="Arial"/>
      </rPr>
      <t>Dev note:</t>
    </r>
    <r>
      <rPr>
        <sz val="10"/>
        <color theme="1"/>
        <rFont val="Arial"/>
      </rPr>
      <t xml:space="preserve">
There is a role that has the same value. You can try another role.</t>
    </r>
  </si>
  <si>
    <r>
      <rPr>
        <b/>
        <sz val="10"/>
        <color theme="1"/>
        <rFont val="Arial"/>
      </rPr>
      <t>Dev note:</t>
    </r>
    <r>
      <rPr>
        <sz val="10"/>
        <color theme="1"/>
        <rFont val="Arial"/>
      </rPr>
      <t xml:space="preserve">
Upon checking its already working you can try to test again.</t>
    </r>
  </si>
  <si>
    <r>
      <rPr>
        <b/>
        <sz val="10"/>
        <color theme="1"/>
        <rFont val="Arial"/>
      </rPr>
      <t>Dev note:</t>
    </r>
    <r>
      <rPr>
        <sz val="10"/>
        <color theme="1"/>
        <rFont val="Arial"/>
      </rPr>
      <t xml:space="preserve">
Upon checking its already working you can try to test again.</t>
    </r>
  </si>
  <si>
    <r>
      <rPr>
        <b/>
        <sz val="10"/>
        <color theme="1"/>
        <rFont val="Arial"/>
      </rPr>
      <t>Dev note:</t>
    </r>
    <r>
      <rPr>
        <sz val="10"/>
        <color theme="1"/>
        <rFont val="Arial"/>
      </rPr>
      <t xml:space="preserve">
Upon checking its already working you can try to test again.</t>
    </r>
  </si>
  <si>
    <r>
      <rPr>
        <b/>
        <sz val="10"/>
        <color theme="1"/>
        <rFont val="Arial"/>
      </rPr>
      <t>Dev note:</t>
    </r>
    <r>
      <rPr>
        <sz val="10"/>
        <color theme="1"/>
        <rFont val="Arial"/>
      </rPr>
      <t xml:space="preserve">
Upon checking its already working you can try to test again.</t>
    </r>
  </si>
  <si>
    <t>Searching index numbers, despite having the exact value, will result to "No Data Found"</t>
  </si>
  <si>
    <t xml:space="preserve">Design in Figma is different from the 
current build setting, this to Failed
Upon clicking the Env Clearance GHG tab,
 the Inspection Request is displayed 
immediately instead of the dashboard.
No clickable button for: Request for inspection </t>
  </si>
  <si>
    <t>Design in Figma is different with the current build, setting this to failed</t>
  </si>
  <si>
    <t xml:space="preserve">Admin can't access Application Reports tab </t>
  </si>
  <si>
    <t xml:space="preserve">The search bar tries to show results when typing the ID number manually per number but shows "No results found" when an entire ID is typed completely.  </t>
  </si>
  <si>
    <t>Admin can't access Tricycle Operator table. (Design in Figma is different with the current build, setting this to failed)</t>
  </si>
  <si>
    <t>No "Export" button</t>
  </si>
  <si>
    <t>Admin can't access  Mission Orders &amp; Inspection Reports tab. Design in Figma is different with the current build, setting this to failed</t>
  </si>
  <si>
    <t>Admin can't access Request for Inspection submodule. (Design in Figma is different with the current build, setting this to failed)</t>
  </si>
  <si>
    <t>Admin can't access the Request for Inspection Table. Design in Figma is different with the current build, setting this to failed</t>
  </si>
  <si>
    <t>Upon submitting the registration form, a 
message "User already exists" is
 displayed even when all entered details
 are changed.</t>
  </si>
  <si>
    <r>
      <rPr>
        <b/>
        <sz val="10"/>
        <color theme="1"/>
        <rFont val="Arial"/>
      </rPr>
      <t>Dev note:</t>
    </r>
    <r>
      <rPr>
        <sz val="10"/>
        <color theme="1"/>
        <rFont val="Arial"/>
      </rPr>
      <t xml:space="preserve">
Upon checking its already working you can try to test again.</t>
    </r>
  </si>
  <si>
    <t>Announcements are displayed, but new updates do not appear.</t>
  </si>
  <si>
    <t xml:space="preserve">Unable to test due to the newly created data is not showing in Applicant Dashboard </t>
  </si>
  <si>
    <t xml:space="preserve">Pagination feature is not working no data apperaring in Dashboard </t>
  </si>
  <si>
    <t>- After clicking Submit, the first page of creating GHG reappears briefly.</t>
  </si>
  <si>
    <t>- The ID results and reports show differently from what was searched. (e.g Searching for the latest report made, which has an ID of 1, shows an older report but has the ID of 1.)
- Some ID numbers are shown on the results even though the exact ID number was searched on the search bar. (e.g searching ID #5 outputs ID #s 1-4 instead)
- An existing report may not show on the results when its exact ID number is searched.</t>
  </si>
  <si>
    <t>"The 'Water Pollution' option is missing."</t>
  </si>
  <si>
    <t>ADMIN</t>
  </si>
  <si>
    <t>Date: 06/23/2025</t>
  </si>
  <si>
    <t>Module</t>
  </si>
  <si>
    <t>Sub-Module</t>
  </si>
  <si>
    <t>STATUS</t>
  </si>
  <si>
    <t xml:space="preserve">JIRA TICKET </t>
  </si>
  <si>
    <t>REMARKS</t>
  </si>
  <si>
    <t>Passed</t>
  </si>
  <si>
    <t>Russell Bagnol</t>
  </si>
  <si>
    <t>Failed</t>
  </si>
  <si>
    <t>Invalid</t>
  </si>
  <si>
    <t>Eye Icon</t>
  </si>
  <si>
    <t>N/A</t>
  </si>
  <si>
    <t xml:space="preserve">Forgot Password </t>
  </si>
  <si>
    <t>Register Here</t>
  </si>
  <si>
    <t>SUMMARY : ADMIN</t>
  </si>
  <si>
    <t>Log In</t>
  </si>
  <si>
    <t>Create announcement</t>
  </si>
  <si>
    <t>The title of the announcement created is not showing</t>
  </si>
  <si>
    <t>Edit / Delete Announcement</t>
  </si>
  <si>
    <t>Add / Delete Dispatched  Trucks</t>
  </si>
  <si>
    <t>- Add and Delete buttons are not working
- View button is not working
- Edit button is not working
- Delete button is not not working</t>
  </si>
  <si>
    <t>Test Scripts Invalid</t>
  </si>
  <si>
    <t>Search</t>
  </si>
  <si>
    <t>Test Scripts N/A</t>
  </si>
  <si>
    <t>Filter</t>
  </si>
  <si>
    <t>- After applying filter, the list did not change</t>
  </si>
  <si>
    <t>Pagination</t>
  </si>
  <si>
    <t>User Management</t>
  </si>
  <si>
    <t>Add/Delete Registered Accounts</t>
  </si>
  <si>
    <t xml:space="preserve"> - After adding and then deleting an account, I attempted to create a new account using the same details. However, the system returned an error stating that the user already exists. Upon testing with variations of the input, I found that the email address was specifically causing the issue. Despite the account being deleted, the system still treats the email as registered.</t>
  </si>
  <si>
    <t>Paolo Barrado</t>
  </si>
  <si>
    <t>Import/Export Registered Accounts</t>
  </si>
  <si>
    <t xml:space="preserve"> - I have to export a file first to know the format of the Excell sheets that is needed to be imported
 - It should have a clear instructions on what to put on the excell sheets</t>
  </si>
  <si>
    <t xml:space="preserve"> - The date filtering is not working accurately. When selecting the range from June 2 to June 23, only entries from June 4 are displayed. However, when filtering specifically for June 4 (June 4 – June 4), no results are shown, even though there are records for that date.</t>
  </si>
  <si>
    <t>Edit/Delete(Action...Button)</t>
  </si>
  <si>
    <t>Environmental Clearance</t>
  </si>
  <si>
    <t>Add Greenhouse Gas</t>
  </si>
  <si>
    <t>Khristine Ann De Guzman</t>
  </si>
  <si>
    <t>I searched for a term, but the results included 
unrelated entries that don't match it.</t>
  </si>
  <si>
    <t>Add Anti-Noise Pollution</t>
  </si>
  <si>
    <t>System Management (Role Management)</t>
  </si>
  <si>
    <t>Add Accounts</t>
  </si>
  <si>
    <t>Waste Collection</t>
  </si>
  <si>
    <t>Add Daily Report</t>
  </si>
  <si>
    <t>Delete Daily Report</t>
  </si>
  <si>
    <t>- Can't search by Kontraktor</t>
  </si>
  <si>
    <t>Maps</t>
  </si>
  <si>
    <t>Edit (Action Button)</t>
  </si>
  <si>
    <t>Delete (Action...Button)</t>
  </si>
  <si>
    <t>System Management (Division Management)</t>
  </si>
  <si>
    <t xml:space="preserve"> - The Code does not have a limit and can input letters instead of numbers only.</t>
  </si>
  <si>
    <t>Validate the switch button can access the table Greenhouse Gas Inventory and Anti-noise Polution</t>
  </si>
  <si>
    <t>As an admin, I can add GHG Report Form</t>
  </si>
  <si>
    <t>As an admin, i can search both the GREENHOUSE GAS INVENTORY and ANTI - NOISE POLLUTION</t>
  </si>
  <si>
    <t>Verify search functionality for GREENHOUSE GAS INVENTORY and ANTI-NOISE POLLUTION</t>
  </si>
  <si>
    <t>1. Navigate to the search feature.
2. Enter a keyword related to GREENHOUSE GAS INVENTORY or ANTI-NOISE POLLUTION.
3. Click on the search button</t>
  </si>
  <si>
    <t>As an admin, I can filter the information i want to see</t>
  </si>
  <si>
    <t>Tester</t>
  </si>
  <si>
    <t>Date: 04/02/2025</t>
  </si>
  <si>
    <t>Sean Denmar Q Ysagun</t>
  </si>
  <si>
    <t>Sean Denmar Q. Ysagun</t>
  </si>
  <si>
    <t>After creating  an  Announcement There's no Title shown in the Announcement</t>
  </si>
  <si>
    <t>Harvey Manzanero</t>
  </si>
  <si>
    <t xml:space="preserve">
-The Add and Delete button both are not working.
-Edit button not working 
-View Profile not working</t>
  </si>
  <si>
    <t xml:space="preserve">SUMMARY : ALL USERS </t>
  </si>
  <si>
    <t xml:space="preserve">After setting the date there's no changes of the list </t>
  </si>
  <si>
    <t>Allen Chris Rey C. Delos Santos</t>
  </si>
  <si>
    <t>TOTAL</t>
  </si>
  <si>
    <t>SUMMARY : APPLICANT</t>
  </si>
  <si>
    <t>Adrian Tayab</t>
  </si>
  <si>
    <t>Add Anti-Noise Pollutioin</t>
  </si>
  <si>
    <t>Miguel Olivares</t>
  </si>
  <si>
    <t>- Will proceed even with no checked
 items
- will not accept (pm, am) format
- Palero Name show same as Driver Name</t>
  </si>
  <si>
    <t>Nermar Del Rosario</t>
  </si>
  <si>
    <t>- Kontraktor not searchable by search
- data not searchable by time</t>
  </si>
  <si>
    <t>Sean Duñas</t>
  </si>
  <si>
    <t>Ethan Catacutan</t>
  </si>
  <si>
    <t>APPLICANT</t>
  </si>
  <si>
    <t>Alen Managa</t>
  </si>
  <si>
    <t>Announcements</t>
  </si>
  <si>
    <t>Angelo S.</t>
  </si>
  <si>
    <t>Create GHG</t>
  </si>
  <si>
    <t>Cheska Marie Pascual</t>
  </si>
  <si>
    <t>Create Inpsection</t>
  </si>
  <si>
    <t>Hans Uriel Laqui</t>
  </si>
  <si>
    <t>Complaints</t>
  </si>
  <si>
    <t>File Complaint / Report</t>
  </si>
  <si>
    <t>Joanna Uy</t>
  </si>
  <si>
    <t>Request</t>
  </si>
  <si>
    <t>Chillian Chua</t>
  </si>
  <si>
    <t>unable to check due to the filter option not being available. this affects the checking of pagination, as it is impossible to set the amount of items to view in the list.</t>
  </si>
  <si>
    <t>Garbage Truck Monitoring</t>
  </si>
  <si>
    <t>Issey Miyaki Raposas</t>
  </si>
  <si>
    <t>Date: 03/24/2025</t>
  </si>
  <si>
    <t>Antonio Manila</t>
  </si>
  <si>
    <t>MMP-151</t>
  </si>
  <si>
    <t>| Preview of the file only shows "Preview1"</t>
  </si>
  <si>
    <t>there are no Add / delete dispatch trucks displayed on the dashboard</t>
  </si>
  <si>
    <t>Angelo Suarez</t>
  </si>
  <si>
    <t>The are no search displayed on the dashboards</t>
  </si>
  <si>
    <t>Angelo  Suarez</t>
  </si>
  <si>
    <t>There are no filter feature seen on the announcements tab</t>
  </si>
  <si>
    <t>John Richard Lofamia</t>
  </si>
  <si>
    <t>No pagination present for the announcements tab</t>
  </si>
  <si>
    <t>Edit(Action...Button)</t>
  </si>
  <si>
    <t>James Ramos</t>
  </si>
  <si>
    <t>Bryant Kert David</t>
  </si>
  <si>
    <t>MMP-133</t>
  </si>
  <si>
    <t>Nicole Samson</t>
  </si>
  <si>
    <t>MMP-149</t>
  </si>
  <si>
    <t>When editing the time, a different time will be displayed on the table</t>
  </si>
  <si>
    <t>Sunstar Olmoguez</t>
  </si>
  <si>
    <t>Pia Mhar R. Mahinay</t>
  </si>
  <si>
    <t>MMP-160</t>
  </si>
  <si>
    <t>After submitting email for password reset, the user does not receieve the verification for the password reset in their email.</t>
  </si>
  <si>
    <t>Manuelito Fuentes and Ethan Catacutan</t>
  </si>
  <si>
    <t>We don't have any data so that we can test the pagination</t>
  </si>
  <si>
    <t>When typing in the search bar after hitting space, all items are displayed again</t>
  </si>
  <si>
    <t>MMP-159</t>
  </si>
  <si>
    <t>Even with multiple items according to filter options in GHG Inventory Report, the pagination remains stuck at 1 of 1 and does not generate additional pages.</t>
  </si>
  <si>
    <t>When try to space out the business name  it shows unneccessary name</t>
  </si>
  <si>
    <t>Download Application</t>
  </si>
  <si>
    <t>Khian Rovy D. Ferma</t>
  </si>
  <si>
    <t>Date: 03/21/2025</t>
  </si>
  <si>
    <t>MMP-114</t>
  </si>
  <si>
    <t>Unable to post announcement when it has a file upload involve</t>
  </si>
  <si>
    <t>Lofamia</t>
  </si>
  <si>
    <t xml:space="preserve"> no roles have implemented according to Sir. Dan</t>
  </si>
  <si>
    <t>The pagination is inaccurate, and each page displays the same content</t>
  </si>
  <si>
    <t>only displays numbers 1-10 each page</t>
  </si>
  <si>
    <t>View/(Action...Button)</t>
  </si>
  <si>
    <t>no view out when clicked the button</t>
  </si>
  <si>
    <t xml:space="preserve">The user should input the required digits and Numbers only
</t>
  </si>
  <si>
    <t>Sean Ysagun</t>
  </si>
  <si>
    <t>Bryant David</t>
  </si>
  <si>
    <t>IN PROGRESS</t>
  </si>
  <si>
    <t>Manuelito Fuentes</t>
  </si>
  <si>
    <t>Kristine Baciles</t>
  </si>
  <si>
    <t>Nicole Samson / Sunstar Olmoguez / Allen Chris Delos Santos</t>
  </si>
  <si>
    <r>
      <t xml:space="preserve"> </t>
    </r>
    <r>
      <rPr>
        <u/>
        <sz val="10"/>
        <color rgb="FF1155CC"/>
        <rFont val="Arial"/>
      </rPr>
      <t>MMP-158</t>
    </r>
  </si>
  <si>
    <t>Khian Rovy Ferma</t>
  </si>
  <si>
    <t>*Start and end dates in filter section must be selected, or else it is not read by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</si>
</sst>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6">
    <font>
      <sz val="10"/>
      <color rgb="FF000000"/>
      <name val="Arial"/>
      <scheme val="minor"/>
    </font>
    <font>
      <b/>
      <sz val="15"/>
      <color theme="1"/>
      <name val="Calibri"/>
    </font>
    <font>
      <sz val="10"/>
      <name val="Arial"/>
    </font>
    <font>
      <sz val="10"/>
      <color theme="1"/>
      <name val="Arial"/>
    </font>
    <font>
      <b/>
      <sz val="11"/>
      <color theme="1"/>
      <name val="Calibri"/>
    </font>
    <font>
      <b/>
      <sz val="25"/>
      <color theme="1"/>
      <name val="Calibri"/>
    </font>
    <font>
      <b/>
      <sz val="12"/>
      <color rgb="FF000000"/>
      <name val="Arial"/>
    </font>
    <font>
      <sz val="10"/>
      <color theme="1"/>
      <name val="Arial"/>
      <scheme val="minor"/>
    </font>
    <font>
      <sz val="11"/>
      <color theme="1"/>
      <name val="Arial"/>
      <scheme val="minor"/>
    </font>
    <font>
      <b/>
      <sz val="10"/>
      <color theme="1"/>
      <name val="Arial"/>
      <scheme val="minor"/>
    </font>
    <font>
      <sz val="11"/>
      <color theme="1"/>
      <name val="Arial"/>
    </font>
    <font>
      <sz val="10"/>
      <color rgb="FF1F1F1F"/>
      <name val="Arial"/>
    </font>
    <font>
      <b/>
      <sz val="10"/>
      <color theme="1"/>
      <name val="Arial"/>
    </font>
    <font>
      <sz val="10"/>
      <color rgb="FF000000"/>
      <name val="Arial"/>
    </font>
    <font>
      <sz val="10"/>
      <color rgb="FF000000"/>
      <name val="Arial"/>
    </font>
    <font>
      <b/>
      <sz val="15"/>
      <color rgb="FF000000"/>
      <name val="Calibri"/>
    </font>
    <font>
      <b/>
      <sz val="11"/>
      <color rgb="FF000000"/>
      <name val="Calibri"/>
    </font>
    <font>
      <b/>
      <sz val="25"/>
      <color rgb="FF000000"/>
      <name val="Calibri"/>
    </font>
    <font>
      <b/>
      <sz val="10"/>
      <color rgb="FF000000"/>
      <name val="Arial"/>
    </font>
    <font>
      <sz val="11"/>
      <color rgb="FF242424"/>
      <name val="Arial"/>
    </font>
    <font>
      <sz val="11"/>
      <color rgb="FF000000"/>
      <name val="Arial"/>
    </font>
    <font>
      <u/>
      <sz val="10"/>
      <color rgb="FF0000FF"/>
      <name val="Arial"/>
    </font>
    <font>
      <sz val="12"/>
      <color rgb="FF000000"/>
      <name val="Arial"/>
    </font>
    <font>
      <b/>
      <sz val="12"/>
      <color rgb="FF000000"/>
      <name val="Arial"/>
      <scheme val="minor"/>
    </font>
    <font>
      <b/>
      <sz val="11"/>
      <color rgb="FF006100"/>
      <name val="Calibri"/>
    </font>
    <font>
      <b/>
      <sz val="11"/>
      <color rgb="FF9C0006"/>
      <name val="Calibri"/>
    </font>
    <font>
      <sz val="11"/>
      <color rgb="FF000000"/>
      <name val="&quot;Aptos Narrow&quot;"/>
    </font>
    <font>
      <u/>
      <sz val="10"/>
      <color rgb="FF000000"/>
      <name val="Arial"/>
    </font>
    <font>
      <b/>
      <sz val="25"/>
      <color rgb="FF000000"/>
      <name val="Arial"/>
    </font>
    <font>
      <u/>
      <sz val="10"/>
      <color rgb="FF1155CC"/>
      <name val="Arial"/>
    </font>
    <font>
      <b/>
      <sz val="12"/>
      <color theme="1"/>
      <name val="Arial"/>
    </font>
    <font>
      <b/>
      <sz val="13"/>
      <color theme="1"/>
      <name val="Arial"/>
    </font>
    <font>
      <b/>
      <sz val="11"/>
      <color theme="1"/>
      <name val="Arial"/>
      <scheme val="minor"/>
    </font>
    <font>
      <b/>
      <sz val="10"/>
      <color theme="1"/>
      <name val="Arial"/>
      <scheme val="minor"/>
    </font>
    <font>
      <u/>
      <sz val="10"/>
      <color rgb="FF0000FF"/>
      <name val="Arial"/>
    </font>
    <font>
      <u/>
      <sz val="10"/>
      <color rgb="FF0000FF"/>
      <name val="Arial"/>
    </font>
  </fonts>
  <fills count="18">
    <fill>
      <patternFill patternType="none"/>
    </fill>
    <fill>
      <patternFill patternType="gray125"/>
    </fill>
    <fill>
      <patternFill patternType="solid">
        <fgColor rgb="FF9CC2E5"/>
        <bgColor rgb="FF9CC2E5"/>
      </patternFill>
    </fill>
    <fill>
      <patternFill patternType="solid">
        <fgColor rgb="FFBDD6EE"/>
        <bgColor rgb="FFBDD6EE"/>
      </patternFill>
    </fill>
    <fill>
      <patternFill patternType="solid">
        <fgColor rgb="FFA8D08D"/>
        <bgColor rgb="FFA8D08D"/>
      </patternFill>
    </fill>
    <fill>
      <patternFill patternType="solid">
        <fgColor rgb="FFDEEAF6"/>
        <bgColor rgb="FFDEEAF6"/>
      </patternFill>
    </fill>
    <fill>
      <patternFill patternType="solid">
        <fgColor rgb="FF5B9BD5"/>
        <bgColor rgb="FF5B9BD5"/>
      </patternFill>
    </fill>
    <fill>
      <patternFill patternType="solid">
        <fgColor rgb="FF6FA8DC"/>
        <bgColor rgb="FF6FA8DC"/>
      </patternFill>
    </fill>
    <fill>
      <patternFill patternType="solid">
        <fgColor rgb="FFFFF2CC"/>
        <bgColor rgb="FFFFF2CC"/>
      </patternFill>
    </fill>
    <fill>
      <patternFill patternType="solid">
        <fgColor rgb="FFA4C2F4"/>
        <bgColor rgb="FFA4C2F4"/>
      </patternFill>
    </fill>
    <fill>
      <patternFill patternType="solid">
        <fgColor rgb="FFFFFFFF"/>
        <bgColor rgb="FFFFFFFF"/>
      </patternFill>
    </fill>
    <fill>
      <patternFill patternType="solid">
        <fgColor rgb="FFFFE599"/>
        <bgColor rgb="FFFFE599"/>
      </patternFill>
    </fill>
    <fill>
      <patternFill patternType="solid">
        <fgColor theme="0"/>
        <bgColor theme="0"/>
      </patternFill>
    </fill>
    <fill>
      <patternFill patternType="solid">
        <fgColor rgb="FFC6EFCE"/>
        <bgColor rgb="FFC6EFCE"/>
      </patternFill>
    </fill>
    <fill>
      <patternFill patternType="solid">
        <fgColor rgb="FFFFC7CE"/>
        <bgColor rgb="FFFFC7CE"/>
      </patternFill>
    </fill>
    <fill>
      <patternFill patternType="solid">
        <fgColor rgb="FF93C47D"/>
        <bgColor rgb="FF93C47D"/>
      </patternFill>
    </fill>
    <fill>
      <patternFill patternType="solid">
        <fgColor rgb="FFF9CB9C"/>
        <bgColor rgb="FFF9CB9C"/>
      </patternFill>
    </fill>
    <fill>
      <patternFill patternType="solid">
        <fgColor rgb="FF6D9EEB"/>
        <bgColor rgb="FF6D9EEB"/>
      </patternFill>
    </fill>
  </fills>
  <borders count="16">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s>
  <cellStyleXfs count="1">
    <xf numFmtId="0" fontId="0" fillId="0" borderId="0"/>
  </cellStyleXfs>
  <cellXfs count="281">
    <xf numFmtId="0" fontId="0" fillId="0" borderId="0" xfId="0" applyFont="1" applyAlignment="1"/>
    <xf numFmtId="0" fontId="3" fillId="3" borderId="4" xfId="0" applyFont="1" applyFill="1" applyBorder="1" applyAlignment="1"/>
    <xf numFmtId="0" fontId="4" fillId="3" borderId="4" xfId="0" applyFont="1" applyFill="1" applyBorder="1" applyAlignment="1">
      <alignment horizontal="center" wrapText="1"/>
    </xf>
    <xf numFmtId="0" fontId="4" fillId="4" borderId="4" xfId="0" applyFont="1" applyFill="1" applyBorder="1" applyAlignment="1">
      <alignment horizontal="center" wrapText="1"/>
    </xf>
    <xf numFmtId="0" fontId="3" fillId="3" borderId="5" xfId="0" applyFont="1" applyFill="1" applyBorder="1" applyAlignment="1"/>
    <xf numFmtId="0" fontId="4" fillId="3" borderId="5" xfId="0" applyFont="1" applyFill="1" applyBorder="1" applyAlignment="1">
      <alignment horizontal="center" wrapText="1"/>
    </xf>
    <xf numFmtId="0" fontId="4" fillId="4" borderId="5" xfId="0" applyFont="1" applyFill="1" applyBorder="1" applyAlignment="1">
      <alignment horizontal="center" wrapText="1"/>
    </xf>
    <xf numFmtId="0" fontId="4" fillId="5" borderId="4" xfId="0" applyFont="1" applyFill="1" applyBorder="1" applyAlignment="1">
      <alignment wrapText="1"/>
    </xf>
    <xf numFmtId="0" fontId="4" fillId="5" borderId="4" xfId="0" applyFont="1" applyFill="1" applyBorder="1" applyAlignment="1">
      <alignment horizontal="center" wrapText="1"/>
    </xf>
    <xf numFmtId="9" fontId="4" fillId="5" borderId="4" xfId="0" applyNumberFormat="1" applyFont="1" applyFill="1" applyBorder="1" applyAlignment="1">
      <alignment horizontal="center" wrapText="1"/>
    </xf>
    <xf numFmtId="0" fontId="4" fillId="5" borderId="5" xfId="0" applyFont="1" applyFill="1" applyBorder="1" applyAlignment="1">
      <alignment wrapText="1"/>
    </xf>
    <xf numFmtId="0" fontId="4" fillId="5" borderId="5" xfId="0" applyFont="1" applyFill="1" applyBorder="1" applyAlignment="1">
      <alignment horizontal="center" wrapText="1"/>
    </xf>
    <xf numFmtId="9" fontId="4" fillId="5" borderId="5" xfId="0" applyNumberFormat="1" applyFont="1" applyFill="1" applyBorder="1" applyAlignment="1">
      <alignment horizontal="center" wrapText="1"/>
    </xf>
    <xf numFmtId="0" fontId="4" fillId="5" borderId="5" xfId="0" applyFont="1" applyFill="1" applyBorder="1" applyAlignment="1">
      <alignment wrapText="1"/>
    </xf>
    <xf numFmtId="0" fontId="1" fillId="2" borderId="4" xfId="0" applyFont="1" applyFill="1" applyBorder="1" applyAlignment="1">
      <alignment horizontal="center" wrapText="1"/>
    </xf>
    <xf numFmtId="9" fontId="1" fillId="2" borderId="4" xfId="0" applyNumberFormat="1" applyFont="1" applyFill="1" applyBorder="1" applyAlignment="1">
      <alignment horizontal="center" wrapText="1"/>
    </xf>
    <xf numFmtId="0" fontId="1" fillId="2" borderId="5" xfId="0" applyFont="1" applyFill="1" applyBorder="1" applyAlignment="1">
      <alignment horizontal="center" wrapText="1"/>
    </xf>
    <xf numFmtId="9" fontId="1" fillId="2" borderId="5" xfId="0" applyNumberFormat="1" applyFont="1" applyFill="1" applyBorder="1" applyAlignment="1">
      <alignment horizontal="center" wrapText="1"/>
    </xf>
    <xf numFmtId="0" fontId="4" fillId="6" borderId="5" xfId="0" applyFont="1" applyFill="1" applyBorder="1" applyAlignment="1">
      <alignment horizontal="center" wrapText="1"/>
    </xf>
    <xf numFmtId="0" fontId="4" fillId="6" borderId="5" xfId="0" applyFont="1" applyFill="1" applyBorder="1" applyAlignment="1">
      <alignment horizontal="center" wrapText="1"/>
    </xf>
    <xf numFmtId="0" fontId="4" fillId="7" borderId="5" xfId="0" applyFont="1" applyFill="1" applyBorder="1" applyAlignment="1">
      <alignment horizontal="center" wrapText="1"/>
    </xf>
    <xf numFmtId="0" fontId="4" fillId="7" borderId="5" xfId="0" applyFont="1" applyFill="1" applyBorder="1" applyAlignment="1">
      <alignment horizontal="center" wrapText="1"/>
    </xf>
    <xf numFmtId="0" fontId="7" fillId="8" borderId="7" xfId="0" applyFont="1" applyFill="1" applyBorder="1" applyAlignment="1">
      <alignment vertical="center" wrapText="1"/>
    </xf>
    <xf numFmtId="0" fontId="7" fillId="0" borderId="5" xfId="0" applyFont="1" applyBorder="1" applyAlignment="1">
      <alignment vertical="center" wrapText="1"/>
    </xf>
    <xf numFmtId="0" fontId="7" fillId="0" borderId="7" xfId="0" applyFont="1" applyBorder="1" applyAlignment="1">
      <alignment vertical="center" wrapText="1"/>
    </xf>
    <xf numFmtId="0" fontId="7" fillId="0" borderId="5" xfId="0" applyFont="1" applyBorder="1" applyAlignment="1">
      <alignment wrapText="1"/>
    </xf>
    <xf numFmtId="0" fontId="7" fillId="0" borderId="5" xfId="0" applyFont="1" applyBorder="1" applyAlignment="1">
      <alignment horizontal="left" vertical="center" wrapText="1"/>
    </xf>
    <xf numFmtId="0" fontId="7" fillId="0" borderId="5" xfId="0" applyFont="1" applyBorder="1" applyAlignment="1">
      <alignment horizontal="center" vertical="center"/>
    </xf>
    <xf numFmtId="0" fontId="7" fillId="0" borderId="5" xfId="0" applyFont="1" applyBorder="1"/>
    <xf numFmtId="0" fontId="7" fillId="8" borderId="5" xfId="0" applyFont="1" applyFill="1" applyBorder="1" applyAlignment="1">
      <alignment horizontal="left"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8" fillId="0" borderId="0" xfId="0" applyFont="1" applyAlignment="1"/>
    <xf numFmtId="0" fontId="7" fillId="0" borderId="7" xfId="0" applyFont="1" applyBorder="1" applyAlignment="1">
      <alignment horizontal="left" vertical="center" wrapText="1"/>
    </xf>
    <xf numFmtId="0" fontId="7" fillId="0" borderId="5" xfId="0" applyFont="1" applyBorder="1" applyAlignment="1">
      <alignment wrapText="1"/>
    </xf>
    <xf numFmtId="0" fontId="7" fillId="0" borderId="8" xfId="0" applyFont="1" applyBorder="1" applyAlignment="1">
      <alignment vertical="center" wrapText="1"/>
    </xf>
    <xf numFmtId="0" fontId="7" fillId="0" borderId="0" xfId="0" applyFont="1" applyAlignment="1">
      <alignment wrapText="1"/>
    </xf>
    <xf numFmtId="0" fontId="7" fillId="8" borderId="5" xfId="0" applyFont="1" applyFill="1" applyBorder="1" applyAlignment="1">
      <alignment vertical="center" wrapText="1"/>
    </xf>
    <xf numFmtId="0" fontId="7" fillId="0" borderId="9" xfId="0" applyFont="1" applyBorder="1" applyAlignment="1">
      <alignment vertical="center" wrapText="1"/>
    </xf>
    <xf numFmtId="0" fontId="7" fillId="0" borderId="0" xfId="0" applyFont="1" applyAlignment="1">
      <alignment vertical="center"/>
    </xf>
    <xf numFmtId="0" fontId="7" fillId="0" borderId="5" xfId="0" applyFont="1" applyBorder="1" applyAlignment="1">
      <alignment vertical="center" wrapText="1"/>
    </xf>
    <xf numFmtId="0" fontId="7" fillId="0" borderId="5" xfId="0" applyFont="1" applyBorder="1" applyAlignment="1">
      <alignment vertical="center"/>
    </xf>
    <xf numFmtId="0" fontId="7" fillId="0" borderId="0" xfId="0" applyFont="1" applyAlignment="1"/>
    <xf numFmtId="0" fontId="3" fillId="0" borderId="5" xfId="0" applyFont="1" applyBorder="1" applyAlignment="1">
      <alignment vertical="center" wrapText="1"/>
    </xf>
    <xf numFmtId="0" fontId="10" fillId="0" borderId="5" xfId="0" applyFont="1" applyBorder="1" applyAlignment="1">
      <alignment vertical="center" wrapText="1"/>
    </xf>
    <xf numFmtId="0" fontId="7" fillId="0" borderId="0" xfId="0" applyFont="1" applyAlignment="1">
      <alignment vertical="center" wrapText="1"/>
    </xf>
    <xf numFmtId="0" fontId="11" fillId="10" borderId="5" xfId="0" applyFont="1" applyFill="1" applyBorder="1" applyAlignment="1">
      <alignment vertical="center" wrapText="1"/>
    </xf>
    <xf numFmtId="0" fontId="7" fillId="0" borderId="5" xfId="0" applyFont="1" applyBorder="1" applyAlignment="1">
      <alignment vertical="center"/>
    </xf>
    <xf numFmtId="0" fontId="3" fillId="0" borderId="5" xfId="0" applyFont="1" applyBorder="1" applyAlignment="1">
      <alignment vertical="center"/>
    </xf>
    <xf numFmtId="0" fontId="7" fillId="0" borderId="9" xfId="0" applyFont="1" applyBorder="1" applyAlignment="1">
      <alignment horizontal="center" vertical="center" wrapText="1"/>
    </xf>
    <xf numFmtId="0" fontId="7" fillId="0" borderId="0" xfId="0" applyFont="1" applyAlignment="1">
      <alignment wrapText="1"/>
    </xf>
    <xf numFmtId="0" fontId="7" fillId="10" borderId="5" xfId="0" applyFont="1" applyFill="1" applyBorder="1" applyAlignment="1">
      <alignment vertical="center" wrapText="1"/>
    </xf>
    <xf numFmtId="0" fontId="3" fillId="0" borderId="5" xfId="0" applyFont="1" applyBorder="1" applyAlignment="1">
      <alignment horizontal="left" vertical="center" wrapText="1"/>
    </xf>
    <xf numFmtId="0" fontId="7" fillId="10" borderId="5" xfId="0" applyFont="1" applyFill="1" applyBorder="1" applyAlignment="1">
      <alignment horizontal="left" vertical="center"/>
    </xf>
    <xf numFmtId="0" fontId="3" fillId="0" borderId="5" xfId="0" applyFont="1" applyBorder="1" applyAlignment="1">
      <alignment horizontal="left" vertical="center"/>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7" fillId="0" borderId="5" xfId="0" applyFont="1" applyBorder="1" applyAlignment="1"/>
    <xf numFmtId="0" fontId="7" fillId="0" borderId="5" xfId="0" applyFont="1" applyBorder="1" applyAlignment="1">
      <alignment horizontal="center" vertical="center"/>
    </xf>
    <xf numFmtId="0" fontId="7" fillId="8" borderId="5" xfId="0" applyFont="1" applyFill="1" applyBorder="1" applyAlignment="1">
      <alignment vertical="center"/>
    </xf>
    <xf numFmtId="0" fontId="7" fillId="0" borderId="7" xfId="0" applyFont="1" applyBorder="1" applyAlignment="1">
      <alignment horizontal="center" vertical="center"/>
    </xf>
    <xf numFmtId="0" fontId="0" fillId="8" borderId="7" xfId="0" applyFont="1" applyFill="1" applyBorder="1" applyAlignment="1">
      <alignment horizontal="left" vertical="center" wrapText="1"/>
    </xf>
    <xf numFmtId="0" fontId="0" fillId="10" borderId="7" xfId="0" applyFont="1" applyFill="1" applyBorder="1" applyAlignment="1">
      <alignment horizontal="left" vertical="center" wrapText="1"/>
    </xf>
    <xf numFmtId="0" fontId="0" fillId="10" borderId="5" xfId="0" applyFont="1" applyFill="1" applyBorder="1" applyAlignment="1">
      <alignment horizontal="left" vertical="center" wrapText="1"/>
    </xf>
    <xf numFmtId="0" fontId="6" fillId="10" borderId="5" xfId="0" applyFont="1" applyFill="1" applyBorder="1" applyAlignment="1">
      <alignment horizontal="center" vertical="center" wrapText="1"/>
    </xf>
    <xf numFmtId="0" fontId="13" fillId="10" borderId="5" xfId="0" applyFont="1" applyFill="1" applyBorder="1" applyAlignment="1">
      <alignment horizontal="left" vertical="center" wrapText="1"/>
    </xf>
    <xf numFmtId="0" fontId="3" fillId="0" borderId="5" xfId="0" applyFont="1" applyBorder="1" applyAlignment="1">
      <alignment wrapText="1"/>
    </xf>
    <xf numFmtId="0" fontId="3" fillId="0" borderId="5" xfId="0" applyFont="1" applyBorder="1" applyAlignment="1">
      <alignment wrapText="1"/>
    </xf>
    <xf numFmtId="0" fontId="3" fillId="0" borderId="5" xfId="0" applyFont="1" applyBorder="1" applyAlignment="1"/>
    <xf numFmtId="0" fontId="3" fillId="0" borderId="0" xfId="0" applyFont="1" applyAlignment="1"/>
    <xf numFmtId="0" fontId="7" fillId="0" borderId="7" xfId="0" applyFont="1" applyBorder="1" applyAlignment="1">
      <alignment wrapText="1"/>
    </xf>
    <xf numFmtId="0" fontId="13" fillId="8" borderId="5" xfId="0" applyFont="1" applyFill="1" applyBorder="1" applyAlignment="1">
      <alignment horizontal="left" vertical="center" wrapText="1"/>
    </xf>
    <xf numFmtId="0" fontId="13" fillId="10" borderId="5" xfId="0" applyFont="1" applyFill="1" applyBorder="1" applyAlignment="1">
      <alignment horizontal="left" vertical="center" wrapText="1"/>
    </xf>
    <xf numFmtId="0" fontId="7" fillId="8" borderId="9" xfId="0" applyFont="1" applyFill="1" applyBorder="1" applyAlignment="1">
      <alignment vertical="center" wrapText="1"/>
    </xf>
    <xf numFmtId="0" fontId="7" fillId="8" borderId="5" xfId="0" applyFont="1" applyFill="1" applyBorder="1" applyAlignment="1"/>
    <xf numFmtId="0" fontId="7" fillId="8" borderId="5" xfId="0" applyFont="1" applyFill="1" applyBorder="1"/>
    <xf numFmtId="0" fontId="3" fillId="0" borderId="5" xfId="0" applyFont="1" applyBorder="1" applyAlignment="1"/>
    <xf numFmtId="0" fontId="3" fillId="0" borderId="5" xfId="0" applyFont="1" applyBorder="1" applyAlignment="1">
      <alignment wrapText="1"/>
    </xf>
    <xf numFmtId="0" fontId="3" fillId="0" borderId="0" xfId="0" applyFont="1" applyAlignment="1">
      <alignment wrapText="1"/>
    </xf>
    <xf numFmtId="0" fontId="7" fillId="0" borderId="5" xfId="0" applyFont="1" applyBorder="1" applyAlignment="1">
      <alignment horizontal="left" vertical="center"/>
    </xf>
    <xf numFmtId="0" fontId="7" fillId="8" borderId="5" xfId="0" applyFont="1" applyFill="1" applyBorder="1" applyAlignment="1">
      <alignment horizontal="left" vertical="center"/>
    </xf>
    <xf numFmtId="0" fontId="16" fillId="5" borderId="4" xfId="0" applyFont="1" applyFill="1" applyBorder="1" applyAlignment="1">
      <alignment horizontal="center"/>
    </xf>
    <xf numFmtId="0" fontId="14" fillId="0" borderId="5" xfId="0" applyFont="1" applyBorder="1" applyAlignment="1">
      <alignment horizontal="center" wrapText="1"/>
    </xf>
    <xf numFmtId="0" fontId="14" fillId="0" borderId="5"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7" xfId="0" applyFont="1" applyBorder="1" applyAlignment="1">
      <alignment horizontal="center" vertical="center" wrapText="1"/>
    </xf>
    <xf numFmtId="0" fontId="22" fillId="10" borderId="5" xfId="0" applyFont="1" applyFill="1" applyBorder="1" applyAlignment="1">
      <alignment horizontal="center" vertical="center" wrapText="1"/>
    </xf>
    <xf numFmtId="0" fontId="22" fillId="10" borderId="7" xfId="0" applyFont="1" applyFill="1" applyBorder="1" applyAlignment="1">
      <alignment horizontal="center" vertical="center" wrapText="1"/>
    </xf>
    <xf numFmtId="0" fontId="6" fillId="12" borderId="7" xfId="0" applyFont="1" applyFill="1" applyBorder="1" applyAlignment="1">
      <alignment horizontal="center" vertical="center" wrapText="1"/>
    </xf>
    <xf numFmtId="0" fontId="13" fillId="12" borderId="7" xfId="0" applyFont="1" applyFill="1" applyBorder="1" applyAlignment="1">
      <alignment horizontal="left" vertical="center" wrapText="1"/>
    </xf>
    <xf numFmtId="0" fontId="7" fillId="10" borderId="5" xfId="0" applyFont="1" applyFill="1" applyBorder="1" applyAlignment="1">
      <alignment wrapText="1"/>
    </xf>
    <xf numFmtId="0" fontId="6" fillId="10" borderId="0" xfId="0" applyFont="1" applyFill="1" applyAlignment="1">
      <alignment horizontal="center" vertical="center" wrapText="1"/>
    </xf>
    <xf numFmtId="0" fontId="7" fillId="10" borderId="0" xfId="0" applyFont="1" applyFill="1" applyAlignment="1">
      <alignment vertical="center" wrapText="1"/>
    </xf>
    <xf numFmtId="0" fontId="7" fillId="10" borderId="0" xfId="0" applyFont="1" applyFill="1" applyAlignment="1">
      <alignment horizontal="left" vertical="center"/>
    </xf>
    <xf numFmtId="0" fontId="7" fillId="10" borderId="0" xfId="0" applyFont="1" applyFill="1" applyAlignment="1">
      <alignment vertical="center"/>
    </xf>
    <xf numFmtId="0" fontId="7" fillId="10" borderId="0" xfId="0" applyFont="1" applyFill="1" applyAlignment="1">
      <alignment wrapText="1"/>
    </xf>
    <xf numFmtId="0" fontId="7" fillId="10" borderId="0" xfId="0" applyFont="1" applyFill="1" applyAlignment="1">
      <alignment horizontal="center" vertical="center"/>
    </xf>
    <xf numFmtId="0" fontId="7" fillId="10" borderId="0" xfId="0" applyFont="1" applyFill="1"/>
    <xf numFmtId="0" fontId="7" fillId="10" borderId="0" xfId="0" applyFont="1" applyFill="1" applyAlignment="1"/>
    <xf numFmtId="0" fontId="14" fillId="0" borderId="12" xfId="0" applyFont="1" applyBorder="1" applyAlignment="1">
      <alignment horizontal="left"/>
    </xf>
    <xf numFmtId="0" fontId="14" fillId="0" borderId="13" xfId="0" applyFont="1" applyBorder="1" applyAlignment="1">
      <alignment horizontal="left"/>
    </xf>
    <xf numFmtId="0" fontId="14" fillId="0" borderId="13" xfId="0" applyFont="1" applyBorder="1" applyAlignment="1">
      <alignment horizontal="left"/>
    </xf>
    <xf numFmtId="0" fontId="14" fillId="0" borderId="7" xfId="0" applyFont="1" applyBorder="1" applyAlignment="1">
      <alignment horizontal="center"/>
    </xf>
    <xf numFmtId="0" fontId="14" fillId="0" borderId="14" xfId="0" applyFont="1" applyBorder="1" applyAlignment="1">
      <alignment horizontal="left"/>
    </xf>
    <xf numFmtId="0" fontId="13" fillId="0" borderId="0" xfId="0" applyFont="1" applyAlignment="1"/>
    <xf numFmtId="0" fontId="14" fillId="0" borderId="0" xfId="0" applyFont="1" applyAlignment="1">
      <alignment horizontal="left"/>
    </xf>
    <xf numFmtId="0" fontId="14" fillId="0" borderId="0" xfId="0" applyFont="1" applyAlignment="1">
      <alignment horizontal="left"/>
    </xf>
    <xf numFmtId="0" fontId="14" fillId="0" borderId="0" xfId="0" applyFont="1" applyAlignment="1">
      <alignment horizontal="left"/>
    </xf>
    <xf numFmtId="0" fontId="14" fillId="0" borderId="6" xfId="0" applyFont="1" applyBorder="1" applyAlignment="1">
      <alignment horizontal="left"/>
    </xf>
    <xf numFmtId="0" fontId="14" fillId="3" borderId="9" xfId="0" applyFont="1" applyFill="1" applyBorder="1" applyAlignment="1"/>
    <xf numFmtId="0" fontId="14" fillId="5" borderId="5" xfId="0" applyFont="1" applyFill="1" applyBorder="1" applyAlignment="1">
      <alignment horizontal="left"/>
    </xf>
    <xf numFmtId="0" fontId="16" fillId="3" borderId="4" xfId="0" applyFont="1" applyFill="1" applyBorder="1" applyAlignment="1">
      <alignment horizontal="center"/>
    </xf>
    <xf numFmtId="0" fontId="16" fillId="4" borderId="4" xfId="0" applyFont="1" applyFill="1" applyBorder="1" applyAlignment="1">
      <alignment horizontal="center"/>
    </xf>
    <xf numFmtId="0" fontId="14" fillId="0" borderId="5" xfId="0" applyFont="1" applyBorder="1" applyAlignment="1">
      <alignment horizontal="center"/>
    </xf>
    <xf numFmtId="0" fontId="16" fillId="0" borderId="5" xfId="0" applyFont="1" applyBorder="1" applyAlignment="1">
      <alignment horizontal="center"/>
    </xf>
    <xf numFmtId="0" fontId="16" fillId="0" borderId="5" xfId="0" applyFont="1" applyBorder="1" applyAlignment="1">
      <alignment horizontal="center" vertical="center" wrapText="1"/>
    </xf>
    <xf numFmtId="0" fontId="16" fillId="5" borderId="9" xfId="0" applyFont="1" applyFill="1" applyBorder="1" applyAlignment="1"/>
    <xf numFmtId="9" fontId="16" fillId="5" borderId="4" xfId="0" applyNumberFormat="1" applyFont="1" applyFill="1" applyBorder="1" applyAlignment="1">
      <alignment horizontal="center"/>
    </xf>
    <xf numFmtId="0" fontId="16" fillId="0" borderId="5" xfId="0" applyFont="1" applyBorder="1" applyAlignment="1">
      <alignment horizontal="left"/>
    </xf>
    <xf numFmtId="0" fontId="16" fillId="0" borderId="5" xfId="0" applyFont="1" applyBorder="1" applyAlignment="1">
      <alignment horizontal="center"/>
    </xf>
    <xf numFmtId="9" fontId="16" fillId="0" borderId="5" xfId="0" applyNumberFormat="1" applyFont="1" applyBorder="1" applyAlignment="1">
      <alignment horizontal="center" vertical="center" wrapText="1"/>
    </xf>
    <xf numFmtId="9" fontId="17" fillId="0" borderId="5" xfId="0" applyNumberFormat="1" applyFont="1" applyBorder="1" applyAlignment="1">
      <alignment horizontal="center" vertical="center" wrapText="1"/>
    </xf>
    <xf numFmtId="0" fontId="24" fillId="13" borderId="5" xfId="0" applyFont="1" applyFill="1" applyBorder="1" applyAlignment="1">
      <alignment horizontal="left"/>
    </xf>
    <xf numFmtId="0" fontId="25" fillId="14" borderId="5" xfId="0" applyFont="1" applyFill="1" applyBorder="1" applyAlignment="1">
      <alignment horizontal="left"/>
    </xf>
    <xf numFmtId="0" fontId="15" fillId="2" borderId="9" xfId="0" applyFont="1" applyFill="1" applyBorder="1" applyAlignment="1"/>
    <xf numFmtId="0" fontId="16" fillId="2" borderId="4" xfId="0" applyFont="1" applyFill="1" applyBorder="1" applyAlignment="1">
      <alignment horizontal="center"/>
    </xf>
    <xf numFmtId="0" fontId="14" fillId="2" borderId="4" xfId="0" applyFont="1" applyFill="1" applyBorder="1" applyAlignment="1">
      <alignment horizontal="center"/>
    </xf>
    <xf numFmtId="0" fontId="15" fillId="0" borderId="5" xfId="0" applyFont="1" applyBorder="1" applyAlignment="1">
      <alignment horizontal="left"/>
    </xf>
    <xf numFmtId="0" fontId="14" fillId="0" borderId="5" xfId="0" applyFont="1" applyBorder="1" applyAlignment="1">
      <alignment horizontal="center" vertical="center" wrapText="1"/>
    </xf>
    <xf numFmtId="0" fontId="14" fillId="0" borderId="15" xfId="0" applyFont="1" applyBorder="1" applyAlignment="1">
      <alignment horizontal="left"/>
    </xf>
    <xf numFmtId="0" fontId="14" fillId="0" borderId="9" xfId="0" applyFont="1" applyBorder="1" applyAlignment="1">
      <alignment horizontal="center"/>
    </xf>
    <xf numFmtId="0" fontId="16" fillId="6" borderId="5" xfId="0" applyFont="1" applyFill="1" applyBorder="1" applyAlignment="1">
      <alignment horizontal="center" wrapText="1"/>
    </xf>
    <xf numFmtId="0" fontId="16" fillId="7" borderId="5" xfId="0" applyFont="1" applyFill="1" applyBorder="1" applyAlignment="1">
      <alignment horizontal="center" wrapText="1"/>
    </xf>
    <xf numFmtId="0" fontId="14" fillId="0" borderId="0" xfId="0" applyFont="1" applyAlignment="1">
      <alignment horizontal="center" wrapText="1"/>
    </xf>
    <xf numFmtId="0" fontId="14" fillId="0" borderId="0" xfId="0" applyFont="1" applyAlignment="1">
      <alignment horizontal="center" wrapText="1"/>
    </xf>
    <xf numFmtId="0" fontId="16" fillId="6" borderId="0" xfId="0" applyFont="1" applyFill="1" applyAlignment="1">
      <alignment horizontal="left"/>
    </xf>
    <xf numFmtId="0" fontId="26" fillId="0" borderId="0" xfId="0" applyFont="1" applyAlignment="1"/>
    <xf numFmtId="0" fontId="7" fillId="0" borderId="0" xfId="0" applyFont="1" applyAlignment="1">
      <alignment horizontal="center" wrapText="1"/>
    </xf>
    <xf numFmtId="0" fontId="14" fillId="0" borderId="0" xfId="0" applyFont="1" applyAlignment="1">
      <alignment horizontal="left"/>
    </xf>
    <xf numFmtId="0" fontId="3" fillId="0" borderId="5" xfId="0" applyFont="1" applyBorder="1" applyAlignment="1">
      <alignment horizontal="center" vertical="center" wrapText="1"/>
    </xf>
    <xf numFmtId="0" fontId="14" fillId="0" borderId="0" xfId="0" applyFont="1" applyAlignment="1">
      <alignment horizontal="left"/>
    </xf>
    <xf numFmtId="0" fontId="14" fillId="8" borderId="5" xfId="0" applyFont="1" applyFill="1" applyBorder="1" applyAlignment="1">
      <alignment horizontal="center" vertical="center" wrapText="1"/>
    </xf>
    <xf numFmtId="0" fontId="7" fillId="0" borderId="5" xfId="0" applyFont="1" applyBorder="1" applyAlignment="1">
      <alignment horizontal="center" wrapText="1"/>
    </xf>
    <xf numFmtId="0" fontId="26" fillId="0" borderId="0" xfId="0" applyFont="1" applyAlignment="1">
      <alignment horizontal="left"/>
    </xf>
    <xf numFmtId="0" fontId="18" fillId="0" borderId="0" xfId="0" applyFont="1" applyAlignment="1">
      <alignment horizontal="center" wrapText="1"/>
    </xf>
    <xf numFmtId="0" fontId="14" fillId="0" borderId="6" xfId="0" applyFont="1" applyBorder="1" applyAlignment="1">
      <alignment horizontal="left"/>
    </xf>
    <xf numFmtId="0" fontId="14" fillId="0" borderId="5" xfId="0" applyFont="1" applyBorder="1" applyAlignment="1">
      <alignment horizontal="center" vertical="center" wrapText="1"/>
    </xf>
    <xf numFmtId="0" fontId="14" fillId="8" borderId="5" xfId="0" applyFont="1" applyFill="1" applyBorder="1" applyAlignment="1">
      <alignment horizontal="center" vertical="center" wrapText="1"/>
    </xf>
    <xf numFmtId="0" fontId="14" fillId="10" borderId="0" xfId="0" applyFont="1" applyFill="1" applyAlignment="1">
      <alignment horizontal="center" wrapText="1"/>
    </xf>
    <xf numFmtId="0" fontId="14" fillId="10" borderId="0" xfId="0" applyFont="1" applyFill="1" applyAlignment="1">
      <alignment horizontal="center" wrapText="1"/>
    </xf>
    <xf numFmtId="0" fontId="3" fillId="0" borderId="5" xfId="0" applyFont="1" applyBorder="1" applyAlignment="1">
      <alignment horizontal="center" vertical="center" wrapText="1"/>
    </xf>
    <xf numFmtId="0" fontId="6" fillId="3" borderId="5" xfId="0" applyFont="1" applyFill="1" applyBorder="1" applyAlignment="1">
      <alignment horizontal="center" wrapText="1"/>
    </xf>
    <xf numFmtId="0" fontId="7" fillId="0" borderId="5" xfId="0" applyFont="1" applyBorder="1" applyAlignment="1">
      <alignment horizontal="center" wrapText="1"/>
    </xf>
    <xf numFmtId="0" fontId="3" fillId="10" borderId="0" xfId="0" applyFont="1" applyFill="1" applyAlignment="1">
      <alignment horizontal="center" wrapText="1"/>
    </xf>
    <xf numFmtId="0" fontId="19" fillId="8" borderId="5"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19" fillId="0" borderId="5" xfId="0" applyFont="1" applyBorder="1" applyAlignment="1">
      <alignment horizontal="center" vertical="center" wrapText="1"/>
    </xf>
    <xf numFmtId="0" fontId="27" fillId="0" borderId="5" xfId="0" applyFont="1" applyBorder="1" applyAlignment="1">
      <alignment horizontal="center" vertical="center" wrapText="1"/>
    </xf>
    <xf numFmtId="0" fontId="20" fillId="0" borderId="5" xfId="0" applyFont="1" applyBorder="1" applyAlignment="1">
      <alignment horizontal="center" vertical="center" wrapText="1"/>
    </xf>
    <xf numFmtId="0" fontId="11" fillId="10" borderId="5" xfId="0" applyFont="1" applyFill="1" applyBorder="1" applyAlignment="1">
      <alignment horizontal="center" vertical="center" wrapText="1"/>
    </xf>
    <xf numFmtId="0" fontId="14" fillId="10" borderId="5" xfId="0" applyFont="1" applyFill="1" applyBorder="1" applyAlignment="1">
      <alignment horizontal="center" vertical="center" wrapText="1"/>
    </xf>
    <xf numFmtId="0" fontId="14" fillId="0" borderId="11" xfId="0" applyFont="1" applyBorder="1" applyAlignment="1">
      <alignment horizontal="left"/>
    </xf>
    <xf numFmtId="0" fontId="14" fillId="0" borderId="10" xfId="0" applyFont="1" applyBorder="1" applyAlignment="1">
      <alignment horizontal="left"/>
    </xf>
    <xf numFmtId="0" fontId="14" fillId="0" borderId="10" xfId="0" applyFont="1" applyBorder="1" applyAlignment="1">
      <alignment horizontal="left"/>
    </xf>
    <xf numFmtId="0" fontId="14" fillId="0" borderId="8" xfId="0" applyFont="1" applyBorder="1" applyAlignment="1">
      <alignment horizontal="center"/>
    </xf>
    <xf numFmtId="0" fontId="14" fillId="3" borderId="5" xfId="0" applyFont="1" applyFill="1" applyBorder="1" applyAlignment="1"/>
    <xf numFmtId="0" fontId="16" fillId="3" borderId="5" xfId="0" applyFont="1" applyFill="1" applyBorder="1" applyAlignment="1"/>
    <xf numFmtId="0" fontId="16" fillId="4" borderId="5" xfId="0" applyFont="1" applyFill="1" applyBorder="1" applyAlignment="1"/>
    <xf numFmtId="0" fontId="16" fillId="5" borderId="5" xfId="0" applyFont="1" applyFill="1" applyBorder="1" applyAlignment="1"/>
    <xf numFmtId="0" fontId="16" fillId="5" borderId="5" xfId="0" applyFont="1" applyFill="1" applyBorder="1" applyAlignment="1">
      <alignment horizontal="center"/>
    </xf>
    <xf numFmtId="9" fontId="14" fillId="5" borderId="5" xfId="0" applyNumberFormat="1" applyFont="1" applyFill="1" applyBorder="1" applyAlignment="1">
      <alignment horizontal="center"/>
    </xf>
    <xf numFmtId="0" fontId="15" fillId="2" borderId="5" xfId="0" applyFont="1" applyFill="1" applyBorder="1" applyAlignment="1"/>
    <xf numFmtId="0" fontId="15" fillId="2" borderId="5" xfId="0" applyFont="1" applyFill="1" applyBorder="1" applyAlignment="1">
      <alignment horizontal="center"/>
    </xf>
    <xf numFmtId="0" fontId="14" fillId="2" borderId="5" xfId="0" applyFont="1" applyFill="1" applyBorder="1" applyAlignment="1">
      <alignment horizontal="center"/>
    </xf>
    <xf numFmtId="0" fontId="16" fillId="10" borderId="0" xfId="0" applyFont="1" applyFill="1" applyAlignment="1">
      <alignment horizontal="left"/>
    </xf>
    <xf numFmtId="0" fontId="14" fillId="0" borderId="5" xfId="0" applyFont="1" applyBorder="1" applyAlignment="1">
      <alignment horizontal="left"/>
    </xf>
    <xf numFmtId="0" fontId="14" fillId="10" borderId="0" xfId="0" applyFont="1" applyFill="1" applyAlignment="1">
      <alignment horizontal="left"/>
    </xf>
    <xf numFmtId="164" fontId="14" fillId="0" borderId="5" xfId="0" applyNumberFormat="1" applyFont="1" applyBorder="1" applyAlignment="1">
      <alignment horizontal="left"/>
    </xf>
    <xf numFmtId="0" fontId="7" fillId="0" borderId="5" xfId="0" applyFont="1" applyBorder="1" applyAlignment="1">
      <alignment wrapText="1"/>
    </xf>
    <xf numFmtId="0" fontId="14" fillId="10" borderId="5" xfId="0" applyFont="1" applyFill="1" applyBorder="1" applyAlignment="1">
      <alignment horizontal="center" vertical="center" wrapText="1"/>
    </xf>
    <xf numFmtId="0" fontId="14" fillId="0" borderId="5" xfId="0" applyFont="1" applyBorder="1" applyAlignment="1">
      <alignment horizontal="left"/>
    </xf>
    <xf numFmtId="0" fontId="14" fillId="0" borderId="5" xfId="0" applyFont="1" applyBorder="1" applyAlignment="1">
      <alignment horizontal="left" vertical="center" wrapText="1"/>
    </xf>
    <xf numFmtId="0" fontId="14" fillId="10" borderId="5" xfId="0" applyFont="1" applyFill="1" applyBorder="1" applyAlignment="1">
      <alignment horizontal="left" vertical="center" wrapText="1"/>
    </xf>
    <xf numFmtId="0" fontId="26"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10" borderId="0" xfId="0" applyFont="1" applyFill="1" applyAlignment="1">
      <alignment horizontal="left"/>
    </xf>
    <xf numFmtId="11" fontId="14" fillId="0" borderId="5" xfId="0" applyNumberFormat="1" applyFont="1" applyBorder="1" applyAlignment="1">
      <alignment horizontal="center" vertical="center" wrapText="1"/>
    </xf>
    <xf numFmtId="0" fontId="14" fillId="10" borderId="5" xfId="0" applyFont="1" applyFill="1" applyBorder="1" applyAlignment="1">
      <alignment horizontal="center" vertical="center" wrapText="1"/>
    </xf>
    <xf numFmtId="0" fontId="20" fillId="0" borderId="5" xfId="0" applyFont="1" applyBorder="1" applyAlignment="1">
      <alignment horizontal="center" vertical="center" wrapText="1"/>
    </xf>
    <xf numFmtId="0" fontId="14" fillId="0" borderId="5" xfId="0" applyFont="1" applyBorder="1" applyAlignment="1">
      <alignment horizontal="center"/>
    </xf>
    <xf numFmtId="0" fontId="26" fillId="0" borderId="0" xfId="0" applyFont="1" applyAlignment="1">
      <alignment horizontal="left"/>
    </xf>
    <xf numFmtId="0" fontId="26" fillId="0" borderId="0" xfId="0" applyFont="1" applyAlignment="1">
      <alignment horizontal="center"/>
    </xf>
    <xf numFmtId="0" fontId="13" fillId="0" borderId="0" xfId="0" applyFont="1" applyAlignment="1">
      <alignment horizontal="center"/>
    </xf>
    <xf numFmtId="0" fontId="7" fillId="0" borderId="0" xfId="0" applyFont="1" applyAlignment="1">
      <alignment wrapText="1"/>
    </xf>
    <xf numFmtId="0" fontId="7" fillId="8" borderId="5" xfId="0" applyFont="1" applyFill="1" applyBorder="1" applyAlignment="1">
      <alignment wrapText="1"/>
    </xf>
    <xf numFmtId="0" fontId="7" fillId="8" borderId="5" xfId="0" applyFont="1" applyFill="1" applyBorder="1" applyAlignment="1">
      <alignment wrapText="1"/>
    </xf>
    <xf numFmtId="0" fontId="3" fillId="0" borderId="5" xfId="0" applyFont="1" applyBorder="1" applyAlignment="1">
      <alignment wrapText="1"/>
    </xf>
    <xf numFmtId="0" fontId="7" fillId="0" borderId="0" xfId="0" applyFont="1" applyAlignment="1">
      <alignment horizontal="center" vertical="center" wrapText="1"/>
    </xf>
    <xf numFmtId="0" fontId="7" fillId="10" borderId="5" xfId="0" applyFont="1" applyFill="1" applyBorder="1" applyAlignment="1">
      <alignment horizontal="center" vertical="center"/>
    </xf>
    <xf numFmtId="0" fontId="4" fillId="5" borderId="4" xfId="0" applyFont="1" applyFill="1" applyBorder="1" applyAlignment="1">
      <alignment wrapText="1"/>
    </xf>
    <xf numFmtId="0" fontId="7" fillId="10" borderId="5" xfId="0" applyFont="1" applyFill="1" applyBorder="1" applyAlignment="1">
      <alignment horizontal="left" vertical="center" wrapText="1"/>
    </xf>
    <xf numFmtId="0" fontId="31" fillId="11" borderId="5" xfId="0" applyFont="1" applyFill="1" applyBorder="1" applyAlignment="1">
      <alignment horizontal="center"/>
    </xf>
    <xf numFmtId="0" fontId="30" fillId="0" borderId="5" xfId="0" applyFont="1" applyBorder="1" applyAlignment="1"/>
    <xf numFmtId="0" fontId="30" fillId="16" borderId="5" xfId="0" applyFont="1" applyFill="1" applyBorder="1" applyAlignment="1">
      <alignment horizontal="center"/>
    </xf>
    <xf numFmtId="0" fontId="30" fillId="16" borderId="2" xfId="0" applyFont="1" applyFill="1" applyBorder="1" applyAlignment="1">
      <alignment horizontal="center"/>
    </xf>
    <xf numFmtId="0" fontId="12" fillId="16" borderId="5" xfId="0" applyFont="1" applyFill="1" applyBorder="1" applyAlignment="1">
      <alignment horizontal="center" wrapText="1"/>
    </xf>
    <xf numFmtId="0" fontId="7" fillId="0" borderId="5" xfId="0" applyFont="1" applyBorder="1" applyAlignment="1">
      <alignment horizontal="center"/>
    </xf>
    <xf numFmtId="0" fontId="7" fillId="0" borderId="5" xfId="0" applyFont="1" applyBorder="1" applyAlignment="1">
      <alignment horizontal="center"/>
    </xf>
    <xf numFmtId="9" fontId="3" fillId="0" borderId="0" xfId="0" applyNumberFormat="1" applyFont="1" applyAlignment="1"/>
    <xf numFmtId="9" fontId="4" fillId="4" borderId="5" xfId="0" applyNumberFormat="1" applyFont="1" applyFill="1" applyBorder="1" applyAlignment="1">
      <alignment horizontal="center" wrapText="1"/>
    </xf>
    <xf numFmtId="0" fontId="4" fillId="5" borderId="5" xfId="0" applyFont="1" applyFill="1" applyBorder="1" applyAlignment="1">
      <alignment vertical="center" wrapText="1"/>
    </xf>
    <xf numFmtId="0" fontId="4" fillId="5" borderId="5" xfId="0" applyFont="1" applyFill="1" applyBorder="1" applyAlignment="1">
      <alignment horizontal="center" vertical="center" wrapText="1"/>
    </xf>
    <xf numFmtId="9" fontId="4" fillId="5" borderId="5" xfId="0" applyNumberFormat="1" applyFont="1" applyFill="1" applyBorder="1" applyAlignment="1">
      <alignment horizontal="center" vertical="center" wrapText="1"/>
    </xf>
    <xf numFmtId="0" fontId="1" fillId="2" borderId="5" xfId="0" applyFont="1" applyFill="1" applyBorder="1" applyAlignment="1">
      <alignment horizontal="center" vertical="center" wrapText="1"/>
    </xf>
    <xf numFmtId="0" fontId="31" fillId="11" borderId="5" xfId="0" applyFont="1" applyFill="1" applyBorder="1" applyAlignment="1">
      <alignment horizontal="center" wrapText="1"/>
    </xf>
    <xf numFmtId="0" fontId="7" fillId="9" borderId="5" xfId="0" applyFont="1" applyFill="1" applyBorder="1"/>
    <xf numFmtId="0" fontId="32" fillId="9" borderId="5" xfId="0" applyFont="1" applyFill="1" applyBorder="1" applyAlignment="1">
      <alignment horizontal="center"/>
    </xf>
    <xf numFmtId="0" fontId="32" fillId="15" borderId="5" xfId="0" applyFont="1" applyFill="1" applyBorder="1" applyAlignment="1">
      <alignment horizontal="center"/>
    </xf>
    <xf numFmtId="0" fontId="7" fillId="0" borderId="5" xfId="0" applyFont="1" applyBorder="1" applyAlignment="1">
      <alignment horizontal="center" vertical="center"/>
    </xf>
    <xf numFmtId="9" fontId="7" fillId="0" borderId="5" xfId="0" applyNumberFormat="1" applyFont="1" applyBorder="1" applyAlignment="1">
      <alignment horizontal="center" vertical="center"/>
    </xf>
    <xf numFmtId="0" fontId="1" fillId="0" borderId="5" xfId="0" applyFont="1" applyBorder="1" applyAlignment="1"/>
    <xf numFmtId="0" fontId="1" fillId="0" borderId="5" xfId="0" applyFont="1" applyBorder="1" applyAlignment="1">
      <alignment horizontal="center"/>
    </xf>
    <xf numFmtId="0" fontId="7" fillId="0" borderId="0" xfId="0" applyFont="1" applyAlignment="1">
      <alignment horizontal="center"/>
    </xf>
    <xf numFmtId="0" fontId="7" fillId="0" borderId="5" xfId="0" applyFont="1" applyBorder="1" applyAlignment="1">
      <alignment horizontal="center"/>
    </xf>
    <xf numFmtId="0" fontId="31" fillId="11" borderId="5" xfId="0" applyFont="1" applyFill="1" applyBorder="1" applyAlignment="1">
      <alignment horizontal="center" wrapText="1"/>
    </xf>
    <xf numFmtId="0" fontId="7" fillId="0" borderId="5" xfId="0" applyFont="1" applyBorder="1" applyAlignment="1">
      <alignment horizontal="center" vertical="center"/>
    </xf>
    <xf numFmtId="0" fontId="9" fillId="0" borderId="5" xfId="0" applyFont="1" applyBorder="1" applyAlignment="1">
      <alignment vertical="center"/>
    </xf>
    <xf numFmtId="0" fontId="34" fillId="0" borderId="5" xfId="0" applyFont="1" applyBorder="1" applyAlignment="1">
      <alignment horizontal="center"/>
    </xf>
    <xf numFmtId="0" fontId="35" fillId="0" borderId="5" xfId="0" applyFont="1" applyBorder="1" applyAlignment="1">
      <alignment horizontal="center" vertical="center"/>
    </xf>
    <xf numFmtId="0" fontId="7" fillId="0" borderId="5" xfId="0" applyFont="1" applyBorder="1" applyAlignment="1">
      <alignment horizontal="center" wrapText="1"/>
    </xf>
    <xf numFmtId="0" fontId="13" fillId="12" borderId="7" xfId="0" applyFont="1" applyFill="1" applyBorder="1" applyAlignment="1">
      <alignment horizontal="center" vertical="center" wrapText="1"/>
    </xf>
    <xf numFmtId="0" fontId="13" fillId="12" borderId="7" xfId="0" applyFont="1" applyFill="1" applyBorder="1" applyAlignment="1">
      <alignment horizontal="center" vertical="center" wrapText="1"/>
    </xf>
    <xf numFmtId="0" fontId="7" fillId="8" borderId="7" xfId="0" applyFont="1" applyFill="1" applyBorder="1" applyAlignment="1">
      <alignment vertical="center" wrapText="1"/>
    </xf>
    <xf numFmtId="0" fontId="2" fillId="0" borderId="9" xfId="0" applyFont="1" applyBorder="1"/>
    <xf numFmtId="0" fontId="2" fillId="0" borderId="8" xfId="0" applyFont="1" applyBorder="1"/>
    <xf numFmtId="0" fontId="6" fillId="3" borderId="3" xfId="0" applyFont="1" applyFill="1" applyBorder="1" applyAlignment="1">
      <alignment horizontal="center" vertical="center" wrapText="1"/>
    </xf>
    <xf numFmtId="0" fontId="2" fillId="0" borderId="1" xfId="0" applyFont="1" applyBorder="1"/>
    <xf numFmtId="0" fontId="2" fillId="0" borderId="2" xfId="0" applyFont="1" applyBorder="1"/>
    <xf numFmtId="0" fontId="7" fillId="0" borderId="7" xfId="0" applyFont="1" applyBorder="1" applyAlignment="1">
      <alignment vertical="center" wrapText="1"/>
    </xf>
    <xf numFmtId="0" fontId="1" fillId="2" borderId="1" xfId="0" applyFont="1" applyFill="1" applyBorder="1" applyAlignment="1">
      <alignment horizontal="center" wrapText="1"/>
    </xf>
    <xf numFmtId="9" fontId="5" fillId="4" borderId="6" xfId="0" applyNumberFormat="1" applyFont="1" applyFill="1" applyBorder="1" applyAlignment="1">
      <alignment horizontal="center" vertical="center" wrapText="1"/>
    </xf>
    <xf numFmtId="0" fontId="2" fillId="0" borderId="6" xfId="0" applyFont="1" applyBorder="1"/>
    <xf numFmtId="0" fontId="2" fillId="0" borderId="4" xfId="0" applyFont="1" applyBorder="1"/>
    <xf numFmtId="0" fontId="3" fillId="0" borderId="7" xfId="0" applyFont="1" applyBorder="1" applyAlignment="1">
      <alignment vertical="center" wrapText="1"/>
    </xf>
    <xf numFmtId="0" fontId="7" fillId="8" borderId="7" xfId="0" applyFont="1" applyFill="1" applyBorder="1" applyAlignment="1">
      <alignment horizontal="left" vertical="center" wrapText="1"/>
    </xf>
    <xf numFmtId="0" fontId="8" fillId="0" borderId="7" xfId="0" applyFont="1" applyBorder="1" applyAlignment="1">
      <alignment vertical="center"/>
    </xf>
    <xf numFmtId="0" fontId="7" fillId="0" borderId="7" xfId="0" applyFont="1" applyBorder="1" applyAlignment="1">
      <alignment horizontal="center" vertical="center" wrapText="1"/>
    </xf>
    <xf numFmtId="0" fontId="7" fillId="0" borderId="7" xfId="0" applyFont="1" applyBorder="1" applyAlignment="1">
      <alignment horizontal="left" vertical="center" wrapText="1"/>
    </xf>
    <xf numFmtId="0" fontId="1" fillId="2" borderId="3" xfId="0" applyFont="1" applyFill="1" applyBorder="1" applyAlignment="1">
      <alignment horizontal="center" wrapText="1"/>
    </xf>
    <xf numFmtId="9" fontId="5" fillId="4" borderId="7" xfId="0" applyNumberFormat="1" applyFont="1" applyFill="1" applyBorder="1" applyAlignment="1">
      <alignment horizontal="center" vertical="center" wrapText="1"/>
    </xf>
    <xf numFmtId="0" fontId="7" fillId="0" borderId="8" xfId="0" applyFont="1" applyBorder="1" applyAlignment="1">
      <alignment vertical="center" wrapText="1"/>
    </xf>
    <xf numFmtId="0" fontId="7" fillId="8" borderId="7" xfId="0" applyFont="1" applyFill="1" applyBorder="1" applyAlignment="1">
      <alignment vertical="center"/>
    </xf>
    <xf numFmtId="0" fontId="7" fillId="0" borderId="7" xfId="0" applyFont="1" applyBorder="1" applyAlignment="1">
      <alignment vertical="center"/>
    </xf>
    <xf numFmtId="0" fontId="7" fillId="0" borderId="7" xfId="0" applyFont="1" applyBorder="1" applyAlignment="1">
      <alignment horizontal="center" vertical="center"/>
    </xf>
    <xf numFmtId="0" fontId="0" fillId="10" borderId="7" xfId="0" applyFont="1" applyFill="1" applyBorder="1" applyAlignment="1">
      <alignment horizontal="left" vertical="center" wrapText="1"/>
    </xf>
    <xf numFmtId="0" fontId="0" fillId="8" borderId="7" xfId="0" applyFont="1" applyFill="1" applyBorder="1" applyAlignment="1">
      <alignment horizontal="left" vertical="center" wrapText="1"/>
    </xf>
    <xf numFmtId="0" fontId="3" fillId="0" borderId="7" xfId="0" applyFont="1" applyBorder="1" applyAlignment="1">
      <alignment wrapText="1"/>
    </xf>
    <xf numFmtId="0" fontId="7" fillId="0" borderId="7" xfId="0" applyFont="1" applyBorder="1" applyAlignment="1">
      <alignment wrapText="1"/>
    </xf>
    <xf numFmtId="0" fontId="6" fillId="3" borderId="3" xfId="0" applyFont="1" applyFill="1" applyBorder="1" applyAlignment="1">
      <alignment horizontal="center"/>
    </xf>
    <xf numFmtId="0" fontId="2" fillId="0" borderId="13" xfId="0" applyFont="1" applyBorder="1"/>
    <xf numFmtId="0" fontId="14" fillId="0" borderId="7" xfId="0" applyFont="1" applyBorder="1" applyAlignment="1">
      <alignment horizontal="center" vertical="center" wrapText="1"/>
    </xf>
    <xf numFmtId="0" fontId="6" fillId="3" borderId="3" xfId="0" applyFont="1" applyFill="1" applyBorder="1" applyAlignment="1">
      <alignment horizontal="center" wrapText="1"/>
    </xf>
    <xf numFmtId="0" fontId="23" fillId="3" borderId="12" xfId="0" applyFont="1" applyFill="1" applyBorder="1" applyAlignment="1">
      <alignment horizontal="center" vertical="center" wrapText="1"/>
    </xf>
    <xf numFmtId="0" fontId="2" fillId="0" borderId="14" xfId="0" applyFont="1" applyBorder="1"/>
    <xf numFmtId="0" fontId="6" fillId="3" borderId="12" xfId="0" applyFont="1" applyFill="1" applyBorder="1" applyAlignment="1">
      <alignment horizontal="center" vertical="center" wrapText="1"/>
    </xf>
    <xf numFmtId="9" fontId="5" fillId="4" borderId="6" xfId="0" applyNumberFormat="1" applyFont="1" applyFill="1" applyBorder="1" applyAlignment="1">
      <alignment horizontal="center" wrapText="1"/>
    </xf>
    <xf numFmtId="0" fontId="21" fillId="0" borderId="7" xfId="0" applyFont="1" applyBorder="1" applyAlignment="1">
      <alignment horizontal="center" vertical="center" wrapText="1"/>
    </xf>
    <xf numFmtId="0" fontId="18" fillId="9" borderId="3" xfId="0" applyFont="1" applyFill="1" applyBorder="1" applyAlignment="1">
      <alignment horizontal="center" wrapText="1"/>
    </xf>
    <xf numFmtId="0" fontId="14" fillId="8" borderId="7" xfId="0" applyFont="1" applyFill="1" applyBorder="1" applyAlignment="1">
      <alignment horizontal="center" vertical="center" wrapText="1"/>
    </xf>
    <xf numFmtId="0" fontId="15" fillId="2" borderId="3" xfId="0" applyFont="1" applyFill="1" applyBorder="1" applyAlignment="1">
      <alignment horizontal="center"/>
    </xf>
    <xf numFmtId="9" fontId="28" fillId="4" borderId="7" xfId="0" applyNumberFormat="1" applyFont="1" applyFill="1" applyBorder="1" applyAlignment="1">
      <alignment horizontal="center"/>
    </xf>
    <xf numFmtId="0" fontId="15" fillId="0" borderId="3" xfId="0" applyFont="1" applyBorder="1" applyAlignment="1">
      <alignment horizontal="center"/>
    </xf>
    <xf numFmtId="9" fontId="17" fillId="4" borderId="7" xfId="0" applyNumberFormat="1" applyFont="1" applyFill="1" applyBorder="1" applyAlignment="1">
      <alignment horizontal="center" vertical="center" wrapText="1"/>
    </xf>
    <xf numFmtId="9" fontId="17" fillId="0" borderId="7" xfId="0" applyNumberFormat="1" applyFont="1" applyBorder="1" applyAlignment="1">
      <alignment horizontal="center" vertical="center" wrapText="1"/>
    </xf>
    <xf numFmtId="0" fontId="3" fillId="0" borderId="7" xfId="0" applyFont="1" applyBorder="1" applyAlignment="1">
      <alignment horizontal="center" vertical="center" wrapText="1"/>
    </xf>
    <xf numFmtId="0" fontId="13" fillId="10" borderId="7" xfId="0" applyFont="1" applyFill="1" applyBorder="1" applyAlignment="1">
      <alignment horizontal="left" vertical="center" wrapText="1"/>
    </xf>
    <xf numFmtId="0" fontId="9" fillId="0" borderId="7" xfId="0" applyFont="1" applyBorder="1" applyAlignment="1">
      <alignment vertical="center"/>
    </xf>
    <xf numFmtId="0" fontId="1" fillId="17" borderId="3" xfId="0" applyFont="1" applyFill="1" applyBorder="1" applyAlignment="1">
      <alignment horizontal="center" vertical="center"/>
    </xf>
    <xf numFmtId="9" fontId="5" fillId="15" borderId="7" xfId="0" applyNumberFormat="1" applyFont="1" applyFill="1" applyBorder="1" applyAlignment="1">
      <alignment horizontal="center" vertical="center"/>
    </xf>
    <xf numFmtId="0" fontId="33" fillId="0" borderId="7"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persons/person.xml><?xml version="1.0" encoding="utf-8"?>
<x18tc:personList xmlns:x18tc="http://schemas.microsoft.com/office/spreadsheetml/2018/threadedcomments">
  <x18tc:person displayName="Dan Manuel Fabricante" id="{dc95783e-b046-4f45-8dbe-69e72f0ae522}" providerId="google-sheets"/>
  <x18tc:person displayName="Jonathan Calvo" id="{6b93ac8a-742a-41b2-b09b-ccf50f6f7c7e}" providerId="google-sheets"/>
  <x18tc:person displayName="Harvey Manzanero" id="{2ce6bc36-4ea8-480a-ab92-33dbe9da75bf}"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 dT="2025-04-02T04:30:16.00" personId="{dc95783e-b046-4f45-8dbe-69e72f0ae522}" id="{ebecfcdd-ba85-42bf-8be5-99b2be082b3f}" done="0">
    <x18tc:text xml:space="preserve">waiting to confirm with updated BRD</x18tc:text>
  </x18tc:threadedComment>
  <x18tc:threadedComment ref="E34" dT="2025-04-02T04:32:10.00" personId="{6b93ac8a-742a-41b2-b09b-ccf50f6f7c7e}" id="{db4d741a-5543-4189-a68d-34774288feca}" done="0">
    <x18tc:text xml:space="preserve">waiting to confirm with updated BRD</x18tc:text>
  </x18tc:threadedComment>
  <x18tc:threadedComment ref="E13" dT="2025-04-02T04:30:28.00" personId="{dc95783e-b046-4f45-8dbe-69e72f0ae522}" id="{988322b4-fec7-4e81-8300-016b5a21cb54}" done="0">
    <x18tc:text xml:space="preserve">waiting to confirm with updated BRD</x18tc:text>
  </x18tc:threadedComment>
  <x18tc:threadedComment ref="E11" dT="2025-04-02T04:32:32.00" personId="{6b93ac8a-742a-41b2-b09b-ccf50f6f7c7e}" id="{24ad22da-a614-41d5-9eb6-b98d9670b2c9}" done="0">
    <x18tc:text xml:space="preserve">waiting to confirm with updated BRD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0" dT="2025-03-21T09:16:23.00" personId="{6b93ac8a-742a-41b2-b09b-ccf50f6f7c7e}" id="{1dd1be87-57b4-4ddf-9a6c-6bcae21ca3ea}" done="0">
    <x18tc:text xml:space="preserve">All view button are remove</x18tc:text>
  </x18tc:threadedComment>
</x18tc:ThreadedComments>
</file>

<file path=xl/worksheets/_rels/sheet5.xml.rels><?xml version="1.0" encoding="UTF-8" standalone="yes"?>
<Relationships xmlns="http://schemas.openxmlformats.org/package/2006/relationships"><Relationship Id="rId3" Type="http://schemas.microsoft.com/office/2019/04/relationships/documenttask" Target="../documenttasks/documenttask2.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hyperlink" Target="https://highly-succeed-developers.atlassian.net/browse/MMP-149" TargetMode="External"/><Relationship Id="rId2" Type="http://schemas.openxmlformats.org/officeDocument/2006/relationships/hyperlink" Target="https://highly-succeed-developers.atlassian.net/browse/MMP-133" TargetMode="External"/><Relationship Id="rId1" Type="http://schemas.openxmlformats.org/officeDocument/2006/relationships/hyperlink" Target="https://highly-succeed-developers.atlassian.net/jira/software/c/projects/MMP/boards/211?selectedIssue=MMP-151" TargetMode="External"/><Relationship Id="rId5" Type="http://schemas.openxmlformats.org/officeDocument/2006/relationships/hyperlink" Target="https://highly-succeed-developers.atlassian.net/browse/MMP-159" TargetMode="External"/><Relationship Id="rId4" Type="http://schemas.openxmlformats.org/officeDocument/2006/relationships/hyperlink" Target="https://highly-succeed-developers.atlassian.net/jira/software/c/projects/MMP/boards/211?selectedIssue=MMP-160"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highly-succeed-developers.atlassian.net/browse/MMP-133" TargetMode="External"/><Relationship Id="rId1" Type="http://schemas.openxmlformats.org/officeDocument/2006/relationships/hyperlink" Target="https://highly-succeed-developers.atlassian.net/browse/MMP-144" TargetMode="External"/><Relationship Id="rId6" Type="http://schemas.microsoft.com/office/2017/10/relationships/threadedComment" Target="../threadedComments/threadedComment3.xml"/><Relationship Id="rId5" Type="http://schemas.microsoft.com/office/2019/04/relationships/documenttask" Target="../documenttasks/documenttask3.xml"/><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hyperlink" Target="https://highly-succeed-developers.atlassian.net/browse/MMP-1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1359"/>
  <sheetViews>
    <sheetView tabSelected="1" zoomScale="66" zoomScaleNormal="66" workbookViewId="0">
      <pane ySplit="9" topLeftCell="A39" activePane="bottomLeft" state="frozen"/>
      <selection pane="bottomLeft" activeCell="A11" sqref="A11:J11"/>
    </sheetView>
  </sheetViews>
  <sheetFormatPr defaultColWidth="12.5703125" defaultRowHeight="15.75" customHeight="1"/>
  <cols>
    <col min="1" max="1" width="26.7109375" customWidth="1"/>
    <col min="2" max="2" width="28.7109375" customWidth="1"/>
    <col min="3" max="3" width="23.140625" customWidth="1"/>
    <col min="4" max="4" width="35.42578125" customWidth="1"/>
    <col min="5" max="6" width="23.85546875" customWidth="1"/>
    <col min="7" max="7" width="32.85546875" customWidth="1"/>
    <col min="8" max="8" width="72.7109375" customWidth="1"/>
    <col min="9" max="10" width="15.7109375" customWidth="1"/>
    <col min="11" max="11" width="29" customWidth="1"/>
  </cols>
  <sheetData>
    <row r="1" spans="1:30" ht="12.75">
      <c r="A1" s="99"/>
      <c r="B1" s="100"/>
      <c r="C1" s="101"/>
      <c r="D1" s="100"/>
      <c r="E1" s="100"/>
      <c r="F1" s="102"/>
      <c r="G1" s="100"/>
      <c r="H1" s="100"/>
      <c r="I1" s="101"/>
      <c r="J1" s="101"/>
      <c r="K1" s="101"/>
      <c r="L1" s="101"/>
      <c r="M1" s="100"/>
      <c r="N1" s="101"/>
      <c r="O1" s="101"/>
      <c r="P1" s="101"/>
      <c r="Q1" s="101"/>
      <c r="R1" s="101"/>
      <c r="S1" s="101"/>
      <c r="T1" s="101"/>
      <c r="U1" s="101"/>
      <c r="V1" s="101"/>
      <c r="W1" s="101"/>
      <c r="X1" s="101"/>
      <c r="Y1" s="101"/>
      <c r="Z1" s="101"/>
      <c r="AA1" s="103"/>
      <c r="AB1" s="104"/>
      <c r="AC1" s="104"/>
      <c r="AD1" s="104"/>
    </row>
    <row r="2" spans="1:30" ht="19.5">
      <c r="A2" s="270" t="s">
        <v>0</v>
      </c>
      <c r="B2" s="237"/>
      <c r="C2" s="237"/>
      <c r="D2" s="237"/>
      <c r="E2" s="105"/>
      <c r="F2" s="272" t="s">
        <v>1738</v>
      </c>
      <c r="G2" s="237"/>
      <c r="H2" s="237"/>
      <c r="I2" s="237"/>
      <c r="J2" s="238"/>
      <c r="M2" s="106"/>
      <c r="O2" s="107"/>
      <c r="P2" s="107"/>
      <c r="Q2" s="107"/>
      <c r="R2" s="107"/>
      <c r="S2" s="107"/>
      <c r="T2" s="107"/>
      <c r="U2" s="107"/>
      <c r="V2" s="107"/>
      <c r="W2" s="107"/>
      <c r="X2" s="107"/>
      <c r="Y2" s="107"/>
      <c r="Z2" s="107"/>
      <c r="AA2" s="108"/>
      <c r="AB2" s="104"/>
      <c r="AC2" s="104"/>
      <c r="AD2" s="104"/>
    </row>
    <row r="3" spans="1:30" ht="15">
      <c r="A3" s="109"/>
      <c r="B3" s="110"/>
      <c r="C3" s="111" t="s">
        <v>3</v>
      </c>
      <c r="D3" s="112" t="s">
        <v>4</v>
      </c>
      <c r="E3" s="105"/>
      <c r="F3" s="113"/>
      <c r="G3" s="114" t="s">
        <v>2</v>
      </c>
      <c r="H3" s="115" t="s">
        <v>3</v>
      </c>
      <c r="I3" s="115"/>
      <c r="J3" s="115" t="s">
        <v>4</v>
      </c>
      <c r="M3" s="106"/>
      <c r="O3" s="107"/>
      <c r="P3" s="107"/>
      <c r="Q3" s="107"/>
      <c r="R3" s="107"/>
      <c r="S3" s="107"/>
      <c r="T3" s="107"/>
      <c r="U3" s="107"/>
      <c r="V3" s="107"/>
      <c r="W3" s="107"/>
      <c r="X3" s="107"/>
      <c r="Y3" s="107"/>
      <c r="Z3" s="107"/>
      <c r="AA3" s="108"/>
      <c r="AB3" s="104"/>
      <c r="AC3" s="104"/>
      <c r="AD3" s="104"/>
    </row>
    <row r="4" spans="1:30" ht="32.25">
      <c r="A4" s="116" t="s">
        <v>6</v>
      </c>
      <c r="B4" s="81">
        <f>COUNTIF(G12:G296, "NOT STARTED")</f>
        <v>259</v>
      </c>
      <c r="C4" s="117">
        <f>B4/B7</f>
        <v>1</v>
      </c>
      <c r="D4" s="273">
        <f>C5</f>
        <v>0</v>
      </c>
      <c r="E4" s="105"/>
      <c r="F4" s="118" t="s">
        <v>1739</v>
      </c>
      <c r="G4" s="119">
        <f t="shared" ref="G4:G6" si="0">B4+B299</f>
        <v>259</v>
      </c>
      <c r="H4" s="120">
        <f>IFERROR(G4/G7,"")</f>
        <v>1</v>
      </c>
      <c r="I4" s="121"/>
      <c r="J4" s="274">
        <f>H5</f>
        <v>0</v>
      </c>
      <c r="M4" s="106"/>
      <c r="O4" s="107"/>
      <c r="P4" s="107"/>
      <c r="Q4" s="107"/>
      <c r="R4" s="107"/>
      <c r="S4" s="107"/>
      <c r="T4" s="107"/>
      <c r="U4" s="107"/>
      <c r="V4" s="107"/>
      <c r="W4" s="107"/>
      <c r="X4" s="107"/>
      <c r="Y4" s="107"/>
      <c r="Z4" s="107"/>
      <c r="AA4" s="108"/>
      <c r="AB4" s="104"/>
      <c r="AC4" s="104"/>
      <c r="AD4" s="104"/>
    </row>
    <row r="5" spans="1:30" ht="32.25">
      <c r="A5" s="116" t="s">
        <v>8</v>
      </c>
      <c r="B5" s="81">
        <f>COUNTIF(G12:G296, "PASSED")</f>
        <v>0</v>
      </c>
      <c r="C5" s="117">
        <f>B5/B7</f>
        <v>0</v>
      </c>
      <c r="D5" s="235"/>
      <c r="E5" s="105"/>
      <c r="F5" s="122" t="s">
        <v>8</v>
      </c>
      <c r="G5" s="119">
        <f t="shared" si="0"/>
        <v>0</v>
      </c>
      <c r="H5" s="120">
        <f>IFERROR(G5/G7,"")</f>
        <v>0</v>
      </c>
      <c r="I5" s="121"/>
      <c r="J5" s="235"/>
      <c r="M5" s="106"/>
      <c r="O5" s="107"/>
      <c r="P5" s="107"/>
      <c r="Q5" s="107"/>
      <c r="R5" s="107"/>
      <c r="S5" s="107"/>
      <c r="T5" s="107"/>
      <c r="U5" s="107"/>
      <c r="V5" s="107"/>
      <c r="W5" s="107"/>
      <c r="X5" s="107"/>
      <c r="Y5" s="107"/>
      <c r="Z5" s="107"/>
      <c r="AA5" s="108"/>
      <c r="AB5" s="104"/>
      <c r="AC5" s="104"/>
      <c r="AD5" s="104"/>
    </row>
    <row r="6" spans="1:30" ht="32.25">
      <c r="A6" s="116" t="s">
        <v>9</v>
      </c>
      <c r="B6" s="81">
        <f>COUNTIF(G12:G296, "FAILED")</f>
        <v>0</v>
      </c>
      <c r="C6" s="117">
        <f>B6/B7</f>
        <v>0</v>
      </c>
      <c r="D6" s="235"/>
      <c r="E6" s="105"/>
      <c r="F6" s="123" t="s">
        <v>9</v>
      </c>
      <c r="G6" s="119">
        <f t="shared" si="0"/>
        <v>0</v>
      </c>
      <c r="H6" s="120">
        <f>G6/G7</f>
        <v>0</v>
      </c>
      <c r="I6" s="121"/>
      <c r="J6" s="235"/>
      <c r="M6" s="106"/>
      <c r="O6" s="107"/>
      <c r="P6" s="107"/>
      <c r="Q6" s="107"/>
      <c r="R6" s="107"/>
      <c r="S6" s="107"/>
      <c r="T6" s="107"/>
      <c r="U6" s="107"/>
      <c r="V6" s="107"/>
      <c r="W6" s="107"/>
      <c r="X6" s="107"/>
      <c r="Y6" s="107"/>
      <c r="Z6" s="107"/>
      <c r="AA6" s="108"/>
      <c r="AB6" s="104"/>
      <c r="AC6" s="104"/>
      <c r="AD6" s="104"/>
    </row>
    <row r="7" spans="1:30" ht="32.25">
      <c r="A7" s="124" t="s">
        <v>10</v>
      </c>
      <c r="B7" s="125">
        <f>SUM(B4:B6)</f>
        <v>259</v>
      </c>
      <c r="C7" s="126"/>
      <c r="D7" s="235"/>
      <c r="E7" s="105"/>
      <c r="F7" s="127" t="s">
        <v>10</v>
      </c>
      <c r="G7" s="119">
        <f>SUM(G4:G6)</f>
        <v>259</v>
      </c>
      <c r="H7" s="128"/>
      <c r="I7" s="121"/>
      <c r="J7" s="234"/>
      <c r="M7" s="106"/>
      <c r="O7" s="107"/>
      <c r="P7" s="107"/>
      <c r="Q7" s="107"/>
      <c r="R7" s="107"/>
      <c r="S7" s="107"/>
      <c r="T7" s="107"/>
      <c r="U7" s="107"/>
      <c r="V7" s="107"/>
      <c r="W7" s="107"/>
      <c r="X7" s="107"/>
      <c r="Y7" s="107"/>
      <c r="Z7" s="107"/>
      <c r="AA7" s="108"/>
      <c r="AB7" s="104"/>
      <c r="AC7" s="104"/>
      <c r="AD7" s="104"/>
    </row>
    <row r="8" spans="1:30" ht="12.75">
      <c r="A8" s="129"/>
      <c r="C8" s="107"/>
      <c r="D8" s="105"/>
      <c r="E8" s="105"/>
      <c r="F8" s="130"/>
      <c r="G8" s="105"/>
      <c r="H8" s="105"/>
      <c r="I8" s="107"/>
      <c r="J8" s="107"/>
      <c r="K8" s="107"/>
      <c r="L8" s="107"/>
      <c r="M8" s="105"/>
      <c r="N8" s="107"/>
      <c r="O8" s="107"/>
      <c r="P8" s="107"/>
      <c r="Q8" s="107"/>
      <c r="R8" s="107"/>
      <c r="S8" s="107"/>
      <c r="T8" s="107"/>
      <c r="U8" s="107"/>
      <c r="V8" s="107"/>
      <c r="W8" s="107"/>
      <c r="X8" s="107"/>
      <c r="Y8" s="107"/>
      <c r="Z8" s="107"/>
      <c r="AA8" s="108"/>
      <c r="AB8" s="104"/>
      <c r="AC8" s="104"/>
      <c r="AD8" s="104"/>
    </row>
    <row r="9" spans="1:30" ht="30">
      <c r="A9" s="131" t="s">
        <v>11</v>
      </c>
      <c r="B9" s="131" t="s">
        <v>12</v>
      </c>
      <c r="C9" s="131" t="s">
        <v>13</v>
      </c>
      <c r="D9" s="131" t="s">
        <v>1095</v>
      </c>
      <c r="E9" s="131" t="s">
        <v>14</v>
      </c>
      <c r="F9" s="131" t="s">
        <v>15</v>
      </c>
      <c r="G9" s="132" t="s">
        <v>16</v>
      </c>
      <c r="H9" s="132" t="s">
        <v>17</v>
      </c>
      <c r="I9" s="131" t="s">
        <v>1740</v>
      </c>
      <c r="J9" s="131" t="s">
        <v>1741</v>
      </c>
      <c r="K9" s="133"/>
      <c r="L9" s="107"/>
      <c r="M9" s="105"/>
      <c r="N9" s="107"/>
      <c r="O9" s="107"/>
      <c r="P9" s="107"/>
      <c r="Q9" s="107"/>
      <c r="R9" s="107"/>
      <c r="S9" s="107"/>
      <c r="T9" s="107"/>
      <c r="U9" s="107"/>
      <c r="V9" s="107"/>
      <c r="W9" s="107"/>
      <c r="X9" s="107"/>
      <c r="Y9" s="107"/>
      <c r="Z9" s="107"/>
      <c r="AA9" s="108"/>
      <c r="AB9" s="104"/>
      <c r="AC9" s="104"/>
      <c r="AD9" s="104"/>
    </row>
    <row r="10" spans="1:30" ht="1.5" customHeight="1">
      <c r="A10" s="131" t="s">
        <v>11</v>
      </c>
      <c r="B10" s="131" t="s">
        <v>12</v>
      </c>
      <c r="C10" s="131" t="s">
        <v>13</v>
      </c>
      <c r="D10" s="131" t="s">
        <v>14</v>
      </c>
      <c r="E10" s="131" t="s">
        <v>15</v>
      </c>
      <c r="F10" s="132" t="s">
        <v>16</v>
      </c>
      <c r="G10" s="132" t="s">
        <v>1742</v>
      </c>
      <c r="H10" s="132" t="s">
        <v>1743</v>
      </c>
      <c r="I10" s="132"/>
      <c r="J10" s="132" t="s">
        <v>1744</v>
      </c>
      <c r="K10" s="134" t="s">
        <v>1745</v>
      </c>
      <c r="L10" s="107"/>
      <c r="M10" s="135" t="s">
        <v>15</v>
      </c>
      <c r="N10" s="107"/>
      <c r="O10" s="136"/>
      <c r="P10" s="107"/>
      <c r="Q10" s="107"/>
      <c r="R10" s="107"/>
      <c r="S10" s="107"/>
      <c r="T10" s="107"/>
      <c r="U10" s="107"/>
      <c r="V10" s="107"/>
      <c r="W10" s="107"/>
      <c r="X10" s="107"/>
      <c r="Y10" s="107"/>
      <c r="Z10" s="107"/>
      <c r="AA10" s="108"/>
      <c r="AB10" s="104"/>
      <c r="AC10" s="104"/>
      <c r="AD10" s="104"/>
    </row>
    <row r="11" spans="1:30" ht="15">
      <c r="A11" s="262" t="s">
        <v>18</v>
      </c>
      <c r="B11" s="237"/>
      <c r="C11" s="237"/>
      <c r="D11" s="237"/>
      <c r="E11" s="237"/>
      <c r="F11" s="237"/>
      <c r="G11" s="237"/>
      <c r="H11" s="237"/>
      <c r="I11" s="237"/>
      <c r="J11" s="238"/>
      <c r="K11" s="137"/>
      <c r="L11" s="107"/>
      <c r="M11" s="138"/>
      <c r="N11" s="107"/>
      <c r="O11" s="136"/>
      <c r="P11" s="107"/>
      <c r="Q11" s="107"/>
      <c r="R11" s="107"/>
      <c r="S11" s="107"/>
      <c r="T11" s="107"/>
      <c r="U11" s="107"/>
      <c r="V11" s="107"/>
      <c r="W11" s="107"/>
      <c r="X11" s="107"/>
      <c r="Y11" s="107"/>
      <c r="Z11" s="107"/>
      <c r="AA11" s="108"/>
      <c r="AB11" s="104"/>
      <c r="AC11" s="104"/>
      <c r="AD11" s="104"/>
    </row>
    <row r="12" spans="1:30" ht="114.75">
      <c r="A12" s="269" t="s">
        <v>19</v>
      </c>
      <c r="B12" s="83" t="s">
        <v>20</v>
      </c>
      <c r="C12" s="128"/>
      <c r="D12" s="83"/>
      <c r="E12" s="83" t="s">
        <v>1746</v>
      </c>
      <c r="F12" s="128"/>
      <c r="G12" s="139" t="s">
        <v>188</v>
      </c>
      <c r="H12" s="128"/>
      <c r="I12" s="128"/>
      <c r="J12" s="128"/>
      <c r="K12" s="133"/>
      <c r="L12" s="107"/>
      <c r="M12" s="105"/>
      <c r="N12" s="107"/>
      <c r="O12" s="136"/>
      <c r="P12" s="107"/>
      <c r="Q12" s="107"/>
      <c r="R12" s="107"/>
      <c r="S12" s="107"/>
      <c r="T12" s="107"/>
      <c r="U12" s="107"/>
      <c r="V12" s="107"/>
      <c r="W12" s="107"/>
      <c r="X12" s="107"/>
      <c r="Y12" s="107"/>
      <c r="Z12" s="107"/>
      <c r="AA12" s="108"/>
      <c r="AB12" s="104"/>
      <c r="AC12" s="104"/>
      <c r="AD12" s="104"/>
    </row>
    <row r="13" spans="1:30" ht="89.25">
      <c r="A13" s="235"/>
      <c r="B13" s="83" t="s">
        <v>1097</v>
      </c>
      <c r="C13" s="128"/>
      <c r="D13" s="83"/>
      <c r="E13" s="83" t="s">
        <v>1098</v>
      </c>
      <c r="F13" s="83" t="s">
        <v>1747</v>
      </c>
      <c r="G13" s="139" t="s">
        <v>188</v>
      </c>
      <c r="H13" s="128"/>
      <c r="I13" s="128"/>
      <c r="J13" s="128"/>
      <c r="K13" s="133"/>
      <c r="L13" s="107"/>
      <c r="M13" s="140"/>
      <c r="N13" s="107"/>
      <c r="O13" s="136"/>
      <c r="P13" s="107"/>
      <c r="Q13" s="107"/>
      <c r="R13" s="107"/>
      <c r="S13" s="107"/>
      <c r="T13" s="107"/>
      <c r="U13" s="107"/>
      <c r="V13" s="107"/>
      <c r="W13" s="107"/>
      <c r="X13" s="107"/>
      <c r="Y13" s="107"/>
      <c r="Z13" s="107"/>
      <c r="AA13" s="108"/>
      <c r="AB13" s="104"/>
      <c r="AC13" s="104"/>
      <c r="AD13" s="104"/>
    </row>
    <row r="14" spans="1:30" ht="140.25">
      <c r="A14" s="235"/>
      <c r="B14" s="83" t="s">
        <v>1748</v>
      </c>
      <c r="C14" s="128"/>
      <c r="D14" s="83"/>
      <c r="E14" s="83" t="s">
        <v>1749</v>
      </c>
      <c r="F14" s="83" t="s">
        <v>30</v>
      </c>
      <c r="G14" s="139" t="s">
        <v>188</v>
      </c>
      <c r="H14" s="128"/>
      <c r="I14" s="128"/>
      <c r="J14" s="128"/>
      <c r="K14" s="133"/>
      <c r="L14" s="107"/>
      <c r="M14" s="140"/>
      <c r="N14" s="107"/>
      <c r="O14" s="136"/>
      <c r="P14" s="107"/>
      <c r="Q14" s="107"/>
      <c r="R14" s="107"/>
      <c r="S14" s="107"/>
      <c r="T14" s="107"/>
      <c r="U14" s="107"/>
      <c r="V14" s="107"/>
      <c r="W14" s="107"/>
      <c r="X14" s="107"/>
      <c r="Y14" s="107"/>
      <c r="Z14" s="107"/>
      <c r="AA14" s="108"/>
      <c r="AB14" s="104"/>
      <c r="AC14" s="104"/>
      <c r="AD14" s="104"/>
    </row>
    <row r="15" spans="1:30" ht="89.25">
      <c r="A15" s="235"/>
      <c r="B15" s="83" t="s">
        <v>31</v>
      </c>
      <c r="C15" s="128"/>
      <c r="D15" s="83"/>
      <c r="E15" s="83" t="s">
        <v>1750</v>
      </c>
      <c r="F15" s="83" t="s">
        <v>1751</v>
      </c>
      <c r="G15" s="139" t="s">
        <v>188</v>
      </c>
      <c r="H15" s="128"/>
      <c r="I15" s="128"/>
      <c r="J15" s="128"/>
      <c r="K15" s="133"/>
      <c r="L15" s="107"/>
      <c r="M15" s="140"/>
      <c r="N15" s="107"/>
      <c r="O15" s="136"/>
      <c r="P15" s="107"/>
      <c r="Q15" s="107"/>
      <c r="R15" s="107"/>
      <c r="S15" s="107"/>
      <c r="T15" s="107"/>
      <c r="U15" s="107"/>
      <c r="V15" s="107"/>
      <c r="W15" s="107"/>
      <c r="X15" s="107"/>
      <c r="Y15" s="107"/>
      <c r="Z15" s="107"/>
      <c r="AA15" s="108"/>
      <c r="AB15" s="104"/>
      <c r="AC15" s="104"/>
      <c r="AD15" s="104"/>
    </row>
    <row r="16" spans="1:30" ht="51">
      <c r="A16" s="234"/>
      <c r="B16" s="83" t="s">
        <v>34</v>
      </c>
      <c r="C16" s="128"/>
      <c r="D16" s="83"/>
      <c r="E16" s="83" t="s">
        <v>1099</v>
      </c>
      <c r="F16" s="83" t="s">
        <v>36</v>
      </c>
      <c r="G16" s="139" t="s">
        <v>188</v>
      </c>
      <c r="H16" s="128"/>
      <c r="I16" s="128"/>
      <c r="J16" s="128"/>
      <c r="K16" s="133"/>
      <c r="L16" s="107"/>
      <c r="M16" s="140"/>
      <c r="N16" s="107"/>
      <c r="O16" s="136"/>
      <c r="P16" s="107"/>
      <c r="Q16" s="107"/>
      <c r="R16" s="107"/>
      <c r="S16" s="107"/>
      <c r="T16" s="107"/>
      <c r="U16" s="107"/>
      <c r="V16" s="107"/>
      <c r="W16" s="107"/>
      <c r="X16" s="107"/>
      <c r="Y16" s="107"/>
      <c r="Z16" s="107"/>
      <c r="AA16" s="108"/>
      <c r="AB16" s="104"/>
      <c r="AC16" s="104"/>
      <c r="AD16" s="104"/>
    </row>
    <row r="17" spans="1:30" ht="15">
      <c r="A17" s="262" t="s">
        <v>1100</v>
      </c>
      <c r="B17" s="237"/>
      <c r="C17" s="237"/>
      <c r="D17" s="237"/>
      <c r="E17" s="237"/>
      <c r="F17" s="237"/>
      <c r="G17" s="237"/>
      <c r="H17" s="237"/>
      <c r="I17" s="237"/>
      <c r="J17" s="238"/>
      <c r="K17" s="137"/>
      <c r="L17" s="107"/>
      <c r="M17" s="107"/>
      <c r="N17" s="107"/>
      <c r="O17" s="136"/>
      <c r="P17" s="107"/>
      <c r="Q17" s="107"/>
      <c r="R17" s="107"/>
      <c r="S17" s="107"/>
      <c r="T17" s="107"/>
      <c r="U17" s="107"/>
      <c r="V17" s="107"/>
      <c r="W17" s="107"/>
      <c r="X17" s="107"/>
      <c r="Y17" s="107"/>
      <c r="Z17" s="107"/>
      <c r="AA17" s="108"/>
      <c r="AB17" s="104"/>
      <c r="AC17" s="104"/>
      <c r="AD17" s="104"/>
    </row>
    <row r="18" spans="1:30" ht="102">
      <c r="A18" s="141" t="s">
        <v>37</v>
      </c>
      <c r="B18" s="83" t="s">
        <v>38</v>
      </c>
      <c r="C18" s="83" t="s">
        <v>39</v>
      </c>
      <c r="D18" s="142"/>
      <c r="E18" s="83" t="s">
        <v>1101</v>
      </c>
      <c r="F18" s="83" t="s">
        <v>41</v>
      </c>
      <c r="G18" s="139" t="s">
        <v>188</v>
      </c>
      <c r="H18" s="128"/>
      <c r="I18" s="128"/>
      <c r="J18" s="128"/>
      <c r="K18" s="133"/>
      <c r="L18" s="107"/>
      <c r="M18" s="140"/>
      <c r="N18" s="107"/>
      <c r="O18" s="143"/>
      <c r="P18" s="107"/>
      <c r="Q18" s="107"/>
      <c r="R18" s="107"/>
      <c r="S18" s="107"/>
      <c r="T18" s="107"/>
      <c r="U18" s="107"/>
      <c r="V18" s="107"/>
      <c r="W18" s="107"/>
      <c r="X18" s="107"/>
      <c r="Y18" s="107"/>
      <c r="Z18" s="107"/>
      <c r="AA18" s="108"/>
      <c r="AB18" s="104"/>
      <c r="AC18" s="104"/>
      <c r="AD18" s="104"/>
    </row>
    <row r="19" spans="1:30" ht="102">
      <c r="A19" s="269" t="s">
        <v>43</v>
      </c>
      <c r="B19" s="83" t="s">
        <v>44</v>
      </c>
      <c r="C19" s="261" t="s">
        <v>45</v>
      </c>
      <c r="D19" s="142"/>
      <c r="E19" s="83" t="s">
        <v>1752</v>
      </c>
      <c r="F19" s="83" t="s">
        <v>47</v>
      </c>
      <c r="G19" s="139" t="s">
        <v>188</v>
      </c>
      <c r="H19" s="128"/>
      <c r="I19" s="128"/>
      <c r="J19" s="128"/>
      <c r="K19" s="133"/>
      <c r="L19" s="107"/>
      <c r="M19" s="140"/>
      <c r="N19" s="107"/>
      <c r="O19" s="143"/>
      <c r="P19" s="107"/>
      <c r="Q19" s="107"/>
      <c r="R19" s="107"/>
      <c r="S19" s="107"/>
      <c r="T19" s="107"/>
      <c r="U19" s="107"/>
      <c r="V19" s="107"/>
      <c r="W19" s="107"/>
      <c r="X19" s="107"/>
      <c r="Y19" s="107"/>
      <c r="Z19" s="107"/>
      <c r="AA19" s="108"/>
      <c r="AB19" s="104"/>
      <c r="AC19" s="104"/>
      <c r="AD19" s="104"/>
    </row>
    <row r="20" spans="1:30" ht="102">
      <c r="A20" s="234"/>
      <c r="B20" s="83" t="s">
        <v>48</v>
      </c>
      <c r="C20" s="234"/>
      <c r="D20" s="142"/>
      <c r="E20" s="83" t="s">
        <v>1753</v>
      </c>
      <c r="F20" s="83" t="s">
        <v>50</v>
      </c>
      <c r="G20" s="139" t="s">
        <v>188</v>
      </c>
      <c r="H20" s="128"/>
      <c r="I20" s="128"/>
      <c r="J20" s="128"/>
      <c r="K20" s="133"/>
      <c r="L20" s="107"/>
      <c r="M20" s="140"/>
      <c r="N20" s="107"/>
      <c r="O20" s="143"/>
      <c r="P20" s="107"/>
      <c r="Q20" s="107"/>
      <c r="R20" s="107"/>
      <c r="S20" s="107"/>
      <c r="T20" s="107"/>
      <c r="U20" s="107"/>
      <c r="V20" s="107"/>
      <c r="W20" s="107"/>
      <c r="X20" s="107"/>
      <c r="Y20" s="107"/>
      <c r="Z20" s="107"/>
      <c r="AA20" s="108"/>
      <c r="AB20" s="104"/>
      <c r="AC20" s="104"/>
      <c r="AD20" s="104"/>
    </row>
    <row r="21" spans="1:30" ht="63.75">
      <c r="A21" s="269" t="s">
        <v>51</v>
      </c>
      <c r="B21" s="83" t="s">
        <v>52</v>
      </c>
      <c r="C21" s="261" t="s">
        <v>45</v>
      </c>
      <c r="D21" s="142"/>
      <c r="E21" s="83" t="s">
        <v>1102</v>
      </c>
      <c r="F21" s="83" t="s">
        <v>53</v>
      </c>
      <c r="G21" s="139" t="s">
        <v>188</v>
      </c>
      <c r="H21" s="128"/>
      <c r="I21" s="128"/>
      <c r="J21" s="128"/>
      <c r="K21" s="133"/>
      <c r="L21" s="107"/>
      <c r="M21" s="140"/>
      <c r="N21" s="107"/>
      <c r="O21" s="143"/>
      <c r="P21" s="107"/>
      <c r="Q21" s="107"/>
      <c r="R21" s="107"/>
      <c r="S21" s="107"/>
      <c r="T21" s="107"/>
      <c r="U21" s="107"/>
      <c r="V21" s="107"/>
      <c r="W21" s="107"/>
      <c r="X21" s="107"/>
      <c r="Y21" s="107"/>
      <c r="Z21" s="107"/>
      <c r="AA21" s="108"/>
      <c r="AB21" s="104"/>
      <c r="AC21" s="104"/>
      <c r="AD21" s="104"/>
    </row>
    <row r="22" spans="1:30" ht="63.75">
      <c r="A22" s="235"/>
      <c r="B22" s="83" t="s">
        <v>54</v>
      </c>
      <c r="C22" s="235"/>
      <c r="D22" s="142"/>
      <c r="E22" s="83" t="s">
        <v>1103</v>
      </c>
      <c r="F22" s="83" t="s">
        <v>55</v>
      </c>
      <c r="G22" s="139" t="s">
        <v>188</v>
      </c>
      <c r="H22" s="128"/>
      <c r="I22" s="128"/>
      <c r="J22" s="128"/>
      <c r="K22" s="133"/>
      <c r="L22" s="107"/>
      <c r="M22" s="140"/>
      <c r="N22" s="107"/>
      <c r="O22" s="136"/>
      <c r="P22" s="107"/>
      <c r="Q22" s="107"/>
      <c r="R22" s="107"/>
      <c r="S22" s="107"/>
      <c r="T22" s="107"/>
      <c r="U22" s="107"/>
      <c r="V22" s="107"/>
      <c r="W22" s="107"/>
      <c r="X22" s="107"/>
      <c r="Y22" s="107"/>
      <c r="Z22" s="107"/>
      <c r="AA22" s="108"/>
      <c r="AB22" s="104"/>
      <c r="AC22" s="104"/>
      <c r="AD22" s="104"/>
    </row>
    <row r="23" spans="1:30" ht="51">
      <c r="A23" s="234"/>
      <c r="B23" s="83" t="s">
        <v>56</v>
      </c>
      <c r="C23" s="235"/>
      <c r="D23" s="142"/>
      <c r="E23" s="83" t="s">
        <v>1104</v>
      </c>
      <c r="F23" s="83" t="s">
        <v>57</v>
      </c>
      <c r="G23" s="139" t="s">
        <v>188</v>
      </c>
      <c r="H23" s="128"/>
      <c r="I23" s="128"/>
      <c r="J23" s="128"/>
      <c r="K23" s="133"/>
      <c r="L23" s="107"/>
      <c r="M23" s="140"/>
      <c r="N23" s="107"/>
      <c r="O23" s="136"/>
      <c r="P23" s="107"/>
      <c r="Q23" s="107"/>
      <c r="R23" s="107"/>
      <c r="S23" s="107"/>
      <c r="T23" s="107"/>
      <c r="U23" s="107"/>
      <c r="V23" s="107"/>
      <c r="W23" s="107"/>
      <c r="X23" s="107"/>
      <c r="Y23" s="107"/>
      <c r="Z23" s="107"/>
      <c r="AA23" s="108"/>
      <c r="AB23" s="104"/>
      <c r="AC23" s="104"/>
      <c r="AD23" s="104"/>
    </row>
    <row r="24" spans="1:30" ht="63.75">
      <c r="A24" s="269" t="s">
        <v>58</v>
      </c>
      <c r="B24" s="83" t="s">
        <v>59</v>
      </c>
      <c r="C24" s="235"/>
      <c r="D24" s="142"/>
      <c r="E24" s="83" t="s">
        <v>1105</v>
      </c>
      <c r="F24" s="83" t="s">
        <v>60</v>
      </c>
      <c r="G24" s="139" t="s">
        <v>188</v>
      </c>
      <c r="H24" s="128"/>
      <c r="I24" s="128"/>
      <c r="J24" s="128"/>
      <c r="K24" s="133"/>
      <c r="L24" s="107"/>
      <c r="M24" s="140"/>
      <c r="N24" s="107"/>
      <c r="O24" s="143"/>
      <c r="P24" s="107"/>
      <c r="Q24" s="107"/>
      <c r="R24" s="107"/>
      <c r="S24" s="107"/>
      <c r="T24" s="107"/>
      <c r="U24" s="107"/>
      <c r="V24" s="107"/>
      <c r="W24" s="107"/>
      <c r="X24" s="107"/>
      <c r="Y24" s="107"/>
      <c r="Z24" s="107"/>
      <c r="AA24" s="108"/>
      <c r="AB24" s="104"/>
      <c r="AC24" s="104"/>
      <c r="AD24" s="104"/>
    </row>
    <row r="25" spans="1:30" ht="63.75">
      <c r="A25" s="235"/>
      <c r="B25" s="83" t="s">
        <v>61</v>
      </c>
      <c r="C25" s="235"/>
      <c r="D25" s="142"/>
      <c r="E25" s="83" t="s">
        <v>1106</v>
      </c>
      <c r="F25" s="83" t="s">
        <v>62</v>
      </c>
      <c r="G25" s="139" t="s">
        <v>188</v>
      </c>
      <c r="H25" s="128"/>
      <c r="I25" s="128"/>
      <c r="J25" s="128"/>
      <c r="K25" s="133"/>
      <c r="L25" s="107"/>
      <c r="M25" s="140"/>
      <c r="N25" s="107"/>
      <c r="O25" s="136"/>
      <c r="P25" s="107"/>
      <c r="Q25" s="107"/>
      <c r="R25" s="107"/>
      <c r="S25" s="107"/>
      <c r="T25" s="107"/>
      <c r="U25" s="107"/>
      <c r="V25" s="107"/>
      <c r="W25" s="107"/>
      <c r="X25" s="107"/>
      <c r="Y25" s="107"/>
      <c r="Z25" s="107"/>
      <c r="AA25" s="108"/>
      <c r="AB25" s="104"/>
      <c r="AC25" s="104"/>
      <c r="AD25" s="104"/>
    </row>
    <row r="26" spans="1:30" ht="38.25">
      <c r="A26" s="234"/>
      <c r="B26" s="83" t="s">
        <v>63</v>
      </c>
      <c r="C26" s="235"/>
      <c r="D26" s="142"/>
      <c r="E26" s="83" t="s">
        <v>1107</v>
      </c>
      <c r="F26" s="83" t="s">
        <v>1108</v>
      </c>
      <c r="G26" s="139" t="s">
        <v>188</v>
      </c>
      <c r="H26" s="128"/>
      <c r="I26" s="128"/>
      <c r="J26" s="128"/>
      <c r="K26" s="133"/>
      <c r="L26" s="107"/>
      <c r="M26" s="140"/>
      <c r="N26" s="107"/>
      <c r="O26" s="107"/>
      <c r="P26" s="107"/>
      <c r="Q26" s="107"/>
      <c r="R26" s="107"/>
      <c r="S26" s="107"/>
      <c r="T26" s="107"/>
      <c r="U26" s="107"/>
      <c r="V26" s="107"/>
      <c r="W26" s="107"/>
      <c r="X26" s="107"/>
      <c r="Y26" s="107"/>
      <c r="Z26" s="107"/>
      <c r="AA26" s="108"/>
      <c r="AB26" s="104"/>
      <c r="AC26" s="104"/>
      <c r="AD26" s="104"/>
    </row>
    <row r="27" spans="1:30" ht="76.5">
      <c r="A27" s="269" t="s">
        <v>64</v>
      </c>
      <c r="B27" s="83" t="s">
        <v>65</v>
      </c>
      <c r="C27" s="235"/>
      <c r="D27" s="142"/>
      <c r="E27" s="83" t="s">
        <v>1109</v>
      </c>
      <c r="F27" s="83" t="s">
        <v>66</v>
      </c>
      <c r="G27" s="139" t="s">
        <v>188</v>
      </c>
      <c r="H27" s="128"/>
      <c r="I27" s="128"/>
      <c r="J27" s="128"/>
      <c r="K27" s="133"/>
      <c r="L27" s="107"/>
      <c r="M27" s="140"/>
      <c r="N27" s="107"/>
      <c r="O27" s="107"/>
      <c r="P27" s="107"/>
      <c r="Q27" s="107"/>
      <c r="R27" s="107"/>
      <c r="S27" s="107"/>
      <c r="T27" s="107"/>
      <c r="U27" s="107"/>
      <c r="V27" s="107"/>
      <c r="W27" s="107"/>
      <c r="X27" s="107"/>
      <c r="Y27" s="107"/>
      <c r="Z27" s="107"/>
      <c r="AA27" s="108"/>
      <c r="AB27" s="104"/>
      <c r="AC27" s="104"/>
      <c r="AD27" s="104"/>
    </row>
    <row r="28" spans="1:30" ht="76.5">
      <c r="A28" s="235"/>
      <c r="B28" s="83" t="s">
        <v>67</v>
      </c>
      <c r="C28" s="235"/>
      <c r="D28" s="142"/>
      <c r="E28" s="83" t="s">
        <v>1110</v>
      </c>
      <c r="F28" s="83" t="s">
        <v>68</v>
      </c>
      <c r="G28" s="139" t="s">
        <v>188</v>
      </c>
      <c r="H28" s="128"/>
      <c r="I28" s="128"/>
      <c r="J28" s="128"/>
      <c r="K28" s="133"/>
      <c r="L28" s="107"/>
      <c r="M28" s="140"/>
      <c r="N28" s="107"/>
      <c r="O28" s="107"/>
      <c r="P28" s="107"/>
      <c r="Q28" s="107"/>
      <c r="R28" s="107"/>
      <c r="S28" s="107"/>
      <c r="T28" s="107"/>
      <c r="U28" s="107"/>
      <c r="V28" s="107"/>
      <c r="W28" s="107"/>
      <c r="X28" s="107"/>
      <c r="Y28" s="107"/>
      <c r="Z28" s="107"/>
      <c r="AA28" s="108"/>
      <c r="AB28" s="104"/>
      <c r="AC28" s="104"/>
      <c r="AD28" s="104"/>
    </row>
    <row r="29" spans="1:30" ht="38.25">
      <c r="A29" s="234"/>
      <c r="B29" s="83" t="s">
        <v>69</v>
      </c>
      <c r="C29" s="234"/>
      <c r="D29" s="142"/>
      <c r="E29" s="83" t="s">
        <v>1111</v>
      </c>
      <c r="F29" s="83" t="s">
        <v>70</v>
      </c>
      <c r="G29" s="139" t="s">
        <v>188</v>
      </c>
      <c r="H29" s="128"/>
      <c r="I29" s="128"/>
      <c r="J29" s="128"/>
      <c r="K29" s="133"/>
      <c r="L29" s="107"/>
      <c r="M29" s="140"/>
      <c r="N29" s="107"/>
      <c r="O29" s="107"/>
      <c r="P29" s="107"/>
      <c r="Q29" s="107"/>
      <c r="R29" s="107"/>
      <c r="S29" s="107"/>
      <c r="T29" s="107"/>
      <c r="U29" s="107"/>
      <c r="V29" s="107"/>
      <c r="W29" s="107"/>
      <c r="X29" s="107"/>
      <c r="Y29" s="107"/>
      <c r="Z29" s="107"/>
      <c r="AA29" s="108"/>
      <c r="AB29" s="104"/>
      <c r="AC29" s="104"/>
      <c r="AD29" s="104"/>
    </row>
    <row r="30" spans="1:30" ht="102">
      <c r="A30" s="269" t="s">
        <v>71</v>
      </c>
      <c r="B30" s="83" t="s">
        <v>72</v>
      </c>
      <c r="C30" s="261" t="s">
        <v>1112</v>
      </c>
      <c r="D30" s="142"/>
      <c r="E30" s="83" t="s">
        <v>1113</v>
      </c>
      <c r="F30" s="83" t="s">
        <v>75</v>
      </c>
      <c r="G30" s="139" t="s">
        <v>188</v>
      </c>
      <c r="H30" s="128"/>
      <c r="I30" s="128"/>
      <c r="J30" s="128"/>
      <c r="K30" s="133"/>
      <c r="L30" s="107"/>
      <c r="M30" s="140"/>
      <c r="N30" s="107"/>
      <c r="O30" s="107"/>
      <c r="P30" s="107"/>
      <c r="Q30" s="107"/>
      <c r="R30" s="107"/>
      <c r="S30" s="107"/>
      <c r="T30" s="107"/>
      <c r="U30" s="107"/>
      <c r="V30" s="107"/>
      <c r="W30" s="107"/>
      <c r="X30" s="107"/>
      <c r="Y30" s="107"/>
      <c r="Z30" s="107"/>
      <c r="AA30" s="108"/>
      <c r="AB30" s="104"/>
      <c r="AC30" s="104"/>
      <c r="AD30" s="104"/>
    </row>
    <row r="31" spans="1:30" ht="102">
      <c r="A31" s="234"/>
      <c r="B31" s="83" t="s">
        <v>76</v>
      </c>
      <c r="C31" s="234"/>
      <c r="D31" s="142"/>
      <c r="E31" s="83" t="s">
        <v>1114</v>
      </c>
      <c r="F31" s="83" t="s">
        <v>78</v>
      </c>
      <c r="G31" s="139" t="s">
        <v>188</v>
      </c>
      <c r="H31" s="128"/>
      <c r="I31" s="128"/>
      <c r="J31" s="128"/>
      <c r="K31" s="133"/>
      <c r="L31" s="107"/>
      <c r="M31" s="140"/>
      <c r="N31" s="107"/>
      <c r="O31" s="107"/>
      <c r="P31" s="107"/>
      <c r="Q31" s="107"/>
      <c r="R31" s="107"/>
      <c r="S31" s="107"/>
      <c r="T31" s="107"/>
      <c r="U31" s="107"/>
      <c r="V31" s="107"/>
      <c r="W31" s="107"/>
      <c r="X31" s="107"/>
      <c r="Y31" s="107"/>
      <c r="Z31" s="107"/>
      <c r="AA31" s="108"/>
      <c r="AB31" s="104"/>
      <c r="AC31" s="104"/>
      <c r="AD31" s="104"/>
    </row>
    <row r="32" spans="1:30" ht="13.5">
      <c r="A32" s="262" t="s">
        <v>79</v>
      </c>
      <c r="B32" s="237"/>
      <c r="C32" s="237"/>
      <c r="D32" s="237"/>
      <c r="E32" s="237"/>
      <c r="F32" s="237"/>
      <c r="G32" s="237"/>
      <c r="H32" s="237"/>
      <c r="I32" s="237"/>
      <c r="J32" s="238"/>
      <c r="K32" s="144"/>
      <c r="L32" s="107"/>
      <c r="M32" s="107"/>
      <c r="N32" s="107"/>
      <c r="O32" s="107"/>
      <c r="P32" s="107"/>
      <c r="Q32" s="107"/>
      <c r="R32" s="107"/>
      <c r="S32" s="107"/>
      <c r="T32" s="107"/>
      <c r="U32" s="107"/>
      <c r="V32" s="107"/>
      <c r="W32" s="107"/>
      <c r="X32" s="107"/>
      <c r="Y32" s="107"/>
      <c r="Z32" s="107"/>
      <c r="AA32" s="108"/>
      <c r="AB32" s="104"/>
      <c r="AC32" s="104"/>
      <c r="AD32" s="104"/>
    </row>
    <row r="33" spans="1:30" ht="114.75">
      <c r="A33" s="269" t="s">
        <v>80</v>
      </c>
      <c r="B33" s="83" t="s">
        <v>81</v>
      </c>
      <c r="C33" s="83" t="s">
        <v>1754</v>
      </c>
      <c r="D33" s="142"/>
      <c r="E33" s="83" t="s">
        <v>1115</v>
      </c>
      <c r="F33" s="83" t="s">
        <v>82</v>
      </c>
      <c r="G33" s="139" t="s">
        <v>188</v>
      </c>
      <c r="H33" s="128"/>
      <c r="I33" s="128"/>
      <c r="J33" s="128"/>
      <c r="K33" s="133"/>
      <c r="L33" s="105"/>
      <c r="M33" s="140"/>
      <c r="N33" s="105"/>
      <c r="O33" s="105"/>
      <c r="P33" s="105"/>
      <c r="Q33" s="105"/>
      <c r="R33" s="105"/>
      <c r="S33" s="105"/>
      <c r="T33" s="105"/>
      <c r="U33" s="105"/>
      <c r="V33" s="105"/>
      <c r="W33" s="105"/>
      <c r="X33" s="105"/>
      <c r="Y33" s="105"/>
      <c r="Z33" s="105"/>
      <c r="AA33" s="145"/>
      <c r="AB33" s="104"/>
      <c r="AC33" s="104"/>
      <c r="AD33" s="104"/>
    </row>
    <row r="34" spans="1:30" ht="63.75">
      <c r="A34" s="235"/>
      <c r="B34" s="83" t="s">
        <v>1116</v>
      </c>
      <c r="C34" s="83" t="s">
        <v>1117</v>
      </c>
      <c r="D34" s="142"/>
      <c r="E34" s="83" t="s">
        <v>83</v>
      </c>
      <c r="F34" s="83" t="s">
        <v>84</v>
      </c>
      <c r="G34" s="139" t="s">
        <v>188</v>
      </c>
      <c r="H34" s="128"/>
      <c r="I34" s="128"/>
      <c r="J34" s="128"/>
      <c r="K34" s="133"/>
      <c r="L34" s="105"/>
      <c r="M34" s="140"/>
      <c r="N34" s="105"/>
      <c r="O34" s="105"/>
      <c r="P34" s="105"/>
      <c r="Q34" s="105"/>
      <c r="R34" s="105"/>
      <c r="S34" s="105"/>
      <c r="T34" s="105"/>
      <c r="U34" s="105"/>
      <c r="V34" s="105"/>
      <c r="W34" s="105"/>
      <c r="X34" s="105"/>
      <c r="Y34" s="105"/>
      <c r="Z34" s="105"/>
      <c r="AA34" s="145"/>
      <c r="AB34" s="104"/>
      <c r="AC34" s="104"/>
      <c r="AD34" s="104"/>
    </row>
    <row r="35" spans="1:30" ht="140.25">
      <c r="A35" s="235"/>
      <c r="B35" s="83" t="s">
        <v>1118</v>
      </c>
      <c r="C35" s="83" t="s">
        <v>1755</v>
      </c>
      <c r="D35" s="142"/>
      <c r="E35" s="83" t="s">
        <v>1119</v>
      </c>
      <c r="F35" s="83" t="s">
        <v>85</v>
      </c>
      <c r="G35" s="139" t="s">
        <v>188</v>
      </c>
      <c r="H35" s="128"/>
      <c r="I35" s="128"/>
      <c r="J35" s="128"/>
      <c r="K35" s="133"/>
      <c r="L35" s="105"/>
      <c r="M35" s="140"/>
      <c r="N35" s="105"/>
      <c r="O35" s="105"/>
      <c r="P35" s="105"/>
      <c r="Q35" s="105"/>
      <c r="R35" s="105"/>
      <c r="S35" s="105"/>
      <c r="T35" s="105"/>
      <c r="U35" s="105"/>
      <c r="V35" s="105"/>
      <c r="W35" s="105"/>
      <c r="X35" s="105"/>
      <c r="Y35" s="105"/>
      <c r="Z35" s="105"/>
      <c r="AA35" s="145"/>
      <c r="AB35" s="104"/>
      <c r="AC35" s="104"/>
      <c r="AD35" s="104"/>
    </row>
    <row r="36" spans="1:30" ht="63.75">
      <c r="A36" s="235"/>
      <c r="B36" s="83" t="s">
        <v>1120</v>
      </c>
      <c r="C36" s="83" t="s">
        <v>1117</v>
      </c>
      <c r="D36" s="142"/>
      <c r="E36" s="83" t="s">
        <v>86</v>
      </c>
      <c r="F36" s="83" t="s">
        <v>87</v>
      </c>
      <c r="G36" s="139" t="s">
        <v>188</v>
      </c>
      <c r="H36" s="128"/>
      <c r="I36" s="128"/>
      <c r="J36" s="128"/>
      <c r="K36" s="133"/>
      <c r="L36" s="105"/>
      <c r="M36" s="140"/>
      <c r="N36" s="105"/>
      <c r="O36" s="105"/>
      <c r="P36" s="105"/>
      <c r="Q36" s="105"/>
      <c r="R36" s="105"/>
      <c r="S36" s="105"/>
      <c r="T36" s="105"/>
      <c r="U36" s="105"/>
      <c r="V36" s="105"/>
      <c r="W36" s="105"/>
      <c r="X36" s="105"/>
      <c r="Y36" s="105"/>
      <c r="Z36" s="105"/>
      <c r="AA36" s="145"/>
      <c r="AB36" s="104"/>
      <c r="AC36" s="104"/>
      <c r="AD36" s="104"/>
    </row>
    <row r="37" spans="1:30" ht="89.25">
      <c r="A37" s="235"/>
      <c r="B37" s="83" t="s">
        <v>88</v>
      </c>
      <c r="C37" s="83" t="s">
        <v>1117</v>
      </c>
      <c r="D37" s="142"/>
      <c r="E37" s="83" t="s">
        <v>1121</v>
      </c>
      <c r="F37" s="83" t="s">
        <v>89</v>
      </c>
      <c r="G37" s="139" t="s">
        <v>188</v>
      </c>
      <c r="H37" s="128"/>
      <c r="I37" s="128"/>
      <c r="J37" s="128"/>
      <c r="K37" s="133"/>
      <c r="L37" s="105"/>
      <c r="M37" s="140"/>
      <c r="N37" s="105"/>
      <c r="O37" s="105"/>
      <c r="P37" s="105"/>
      <c r="Q37" s="105"/>
      <c r="R37" s="105"/>
      <c r="S37" s="105"/>
      <c r="T37" s="105"/>
      <c r="U37" s="105"/>
      <c r="V37" s="105"/>
      <c r="W37" s="105"/>
      <c r="X37" s="105"/>
      <c r="Y37" s="105"/>
      <c r="Z37" s="105"/>
      <c r="AA37" s="145"/>
      <c r="AB37" s="104"/>
      <c r="AC37" s="104"/>
      <c r="AD37" s="104"/>
    </row>
    <row r="38" spans="1:30" ht="51">
      <c r="A38" s="234"/>
      <c r="B38" s="83" t="s">
        <v>90</v>
      </c>
      <c r="C38" s="83" t="s">
        <v>1117</v>
      </c>
      <c r="D38" s="142"/>
      <c r="E38" s="83" t="s">
        <v>1122</v>
      </c>
      <c r="F38" s="83" t="s">
        <v>91</v>
      </c>
      <c r="G38" s="139" t="s">
        <v>188</v>
      </c>
      <c r="H38" s="128"/>
      <c r="I38" s="128"/>
      <c r="J38" s="128"/>
      <c r="K38" s="133"/>
      <c r="L38" s="105"/>
      <c r="M38" s="140"/>
      <c r="N38" s="105"/>
      <c r="O38" s="105"/>
      <c r="P38" s="105"/>
      <c r="Q38" s="105"/>
      <c r="R38" s="105"/>
      <c r="S38" s="105"/>
      <c r="T38" s="105"/>
      <c r="U38" s="105"/>
      <c r="V38" s="105"/>
      <c r="W38" s="105"/>
      <c r="X38" s="105"/>
      <c r="Y38" s="105"/>
      <c r="Z38" s="105"/>
      <c r="AA38" s="145"/>
      <c r="AB38" s="104"/>
      <c r="AC38" s="104"/>
      <c r="AD38" s="104"/>
    </row>
    <row r="39" spans="1:30" ht="51">
      <c r="A39" s="269" t="s">
        <v>1123</v>
      </c>
      <c r="B39" s="83" t="s">
        <v>92</v>
      </c>
      <c r="C39" s="83" t="s">
        <v>1117</v>
      </c>
      <c r="D39" s="142"/>
      <c r="E39" s="83" t="s">
        <v>93</v>
      </c>
      <c r="F39" s="83" t="s">
        <v>94</v>
      </c>
      <c r="G39" s="139" t="s">
        <v>188</v>
      </c>
      <c r="H39" s="128"/>
      <c r="I39" s="128"/>
      <c r="J39" s="128"/>
      <c r="K39" s="133"/>
      <c r="L39" s="105"/>
      <c r="M39" s="140"/>
      <c r="N39" s="105"/>
      <c r="O39" s="105"/>
      <c r="P39" s="105"/>
      <c r="Q39" s="105"/>
      <c r="R39" s="105"/>
      <c r="S39" s="105"/>
      <c r="T39" s="105"/>
      <c r="U39" s="105"/>
      <c r="V39" s="105"/>
      <c r="W39" s="105"/>
      <c r="X39" s="105"/>
      <c r="Y39" s="105"/>
      <c r="Z39" s="105"/>
      <c r="AA39" s="145"/>
      <c r="AB39" s="104"/>
      <c r="AC39" s="104"/>
      <c r="AD39" s="104"/>
    </row>
    <row r="40" spans="1:30" ht="114.75">
      <c r="A40" s="235"/>
      <c r="B40" s="83" t="s">
        <v>95</v>
      </c>
      <c r="C40" s="83" t="s">
        <v>1117</v>
      </c>
      <c r="D40" s="142"/>
      <c r="E40" s="83" t="s">
        <v>1124</v>
      </c>
      <c r="F40" s="83" t="s">
        <v>1125</v>
      </c>
      <c r="G40" s="139" t="s">
        <v>188</v>
      </c>
      <c r="H40" s="83"/>
      <c r="I40" s="128"/>
      <c r="J40" s="128"/>
      <c r="K40" s="133"/>
      <c r="L40" s="105"/>
      <c r="M40" s="140"/>
      <c r="N40" s="105"/>
      <c r="O40" s="105"/>
      <c r="P40" s="105"/>
      <c r="Q40" s="105"/>
      <c r="R40" s="105"/>
      <c r="S40" s="105"/>
      <c r="T40" s="105"/>
      <c r="U40" s="105"/>
      <c r="V40" s="105"/>
      <c r="W40" s="105"/>
      <c r="X40" s="105"/>
      <c r="Y40" s="105"/>
      <c r="Z40" s="105"/>
      <c r="AA40" s="145"/>
      <c r="AB40" s="104"/>
      <c r="AC40" s="104"/>
      <c r="AD40" s="104"/>
    </row>
    <row r="41" spans="1:30" ht="114.75">
      <c r="A41" s="235"/>
      <c r="B41" s="83" t="s">
        <v>96</v>
      </c>
      <c r="C41" s="83" t="s">
        <v>1755</v>
      </c>
      <c r="D41" s="142"/>
      <c r="E41" s="83" t="s">
        <v>1126</v>
      </c>
      <c r="F41" s="83" t="s">
        <v>97</v>
      </c>
      <c r="G41" s="139" t="s">
        <v>188</v>
      </c>
      <c r="H41" s="128"/>
      <c r="I41" s="128"/>
      <c r="J41" s="128"/>
      <c r="K41" s="133"/>
      <c r="L41" s="105"/>
      <c r="M41" s="140"/>
      <c r="N41" s="105"/>
      <c r="O41" s="105"/>
      <c r="P41" s="105"/>
      <c r="Q41" s="105"/>
      <c r="R41" s="105"/>
      <c r="S41" s="105"/>
      <c r="T41" s="105"/>
      <c r="U41" s="105"/>
      <c r="V41" s="105"/>
      <c r="W41" s="105"/>
      <c r="X41" s="105"/>
      <c r="Y41" s="105"/>
      <c r="Z41" s="105"/>
      <c r="AA41" s="145"/>
      <c r="AB41" s="104"/>
      <c r="AC41" s="104"/>
      <c r="AD41" s="104"/>
    </row>
    <row r="42" spans="1:30" ht="76.5">
      <c r="A42" s="235"/>
      <c r="B42" s="83" t="s">
        <v>98</v>
      </c>
      <c r="C42" s="83" t="s">
        <v>1755</v>
      </c>
      <c r="D42" s="142"/>
      <c r="E42" s="83" t="s">
        <v>1127</v>
      </c>
      <c r="F42" s="83" t="s">
        <v>99</v>
      </c>
      <c r="G42" s="139" t="s">
        <v>188</v>
      </c>
      <c r="H42" s="128"/>
      <c r="I42" s="128"/>
      <c r="J42" s="128"/>
      <c r="K42" s="133"/>
      <c r="L42" s="105"/>
      <c r="M42" s="140"/>
      <c r="N42" s="105"/>
      <c r="O42" s="105"/>
      <c r="P42" s="105"/>
      <c r="Q42" s="105"/>
      <c r="R42" s="105"/>
      <c r="S42" s="105"/>
      <c r="T42" s="105"/>
      <c r="U42" s="105"/>
      <c r="V42" s="105"/>
      <c r="W42" s="105"/>
      <c r="X42" s="105"/>
      <c r="Y42" s="105"/>
      <c r="Z42" s="105"/>
      <c r="AA42" s="145"/>
      <c r="AB42" s="104"/>
      <c r="AC42" s="104"/>
      <c r="AD42" s="104"/>
    </row>
    <row r="43" spans="1:30" ht="89.25">
      <c r="A43" s="235"/>
      <c r="B43" s="83" t="s">
        <v>100</v>
      </c>
      <c r="C43" s="83" t="s">
        <v>1756</v>
      </c>
      <c r="D43" s="142"/>
      <c r="E43" s="83" t="s">
        <v>1128</v>
      </c>
      <c r="F43" s="83" t="s">
        <v>101</v>
      </c>
      <c r="G43" s="139" t="s">
        <v>188</v>
      </c>
      <c r="H43" s="146"/>
      <c r="I43" s="128"/>
      <c r="J43" s="128"/>
      <c r="K43" s="133"/>
      <c r="L43" s="105"/>
      <c r="M43" s="140"/>
      <c r="N43" s="105"/>
      <c r="O43" s="105"/>
      <c r="P43" s="105"/>
      <c r="Q43" s="105"/>
      <c r="R43" s="105"/>
      <c r="S43" s="105"/>
      <c r="T43" s="105"/>
      <c r="U43" s="105"/>
      <c r="V43" s="105"/>
      <c r="W43" s="105"/>
      <c r="X43" s="105"/>
      <c r="Y43" s="105"/>
      <c r="Z43" s="105"/>
      <c r="AA43" s="145"/>
      <c r="AB43" s="104"/>
      <c r="AC43" s="104"/>
      <c r="AD43" s="104"/>
    </row>
    <row r="44" spans="1:30" ht="51">
      <c r="A44" s="235"/>
      <c r="B44" s="83" t="s">
        <v>102</v>
      </c>
      <c r="C44" s="83" t="s">
        <v>1117</v>
      </c>
      <c r="D44" s="142"/>
      <c r="E44" s="83" t="s">
        <v>1129</v>
      </c>
      <c r="F44" s="83" t="s">
        <v>103</v>
      </c>
      <c r="G44" s="139" t="s">
        <v>188</v>
      </c>
      <c r="H44" s="128"/>
      <c r="I44" s="128"/>
      <c r="J44" s="128"/>
      <c r="K44" s="133"/>
      <c r="L44" s="105"/>
      <c r="M44" s="140"/>
      <c r="N44" s="105"/>
      <c r="O44" s="105"/>
      <c r="P44" s="105"/>
      <c r="Q44" s="105"/>
      <c r="R44" s="105"/>
      <c r="S44" s="105"/>
      <c r="T44" s="105"/>
      <c r="U44" s="105"/>
      <c r="V44" s="105"/>
      <c r="W44" s="105"/>
      <c r="X44" s="105"/>
      <c r="Y44" s="105"/>
      <c r="Z44" s="105"/>
      <c r="AA44" s="145"/>
      <c r="AB44" s="104"/>
      <c r="AC44" s="104"/>
      <c r="AD44" s="104"/>
    </row>
    <row r="45" spans="1:30" ht="51">
      <c r="A45" s="235"/>
      <c r="B45" s="83" t="s">
        <v>104</v>
      </c>
      <c r="C45" s="83" t="s">
        <v>1117</v>
      </c>
      <c r="D45" s="142"/>
      <c r="E45" s="83" t="s">
        <v>1130</v>
      </c>
      <c r="F45" s="83" t="s">
        <v>105</v>
      </c>
      <c r="G45" s="139" t="s">
        <v>188</v>
      </c>
      <c r="H45" s="128"/>
      <c r="I45" s="128"/>
      <c r="J45" s="128"/>
      <c r="K45" s="133"/>
      <c r="L45" s="105"/>
      <c r="M45" s="140"/>
      <c r="N45" s="105"/>
      <c r="O45" s="105"/>
      <c r="P45" s="105"/>
      <c r="Q45" s="105"/>
      <c r="R45" s="105"/>
      <c r="S45" s="105"/>
      <c r="T45" s="105"/>
      <c r="U45" s="105"/>
      <c r="V45" s="105"/>
      <c r="W45" s="105"/>
      <c r="X45" s="105"/>
      <c r="Y45" s="105"/>
      <c r="Z45" s="105"/>
      <c r="AA45" s="145"/>
      <c r="AB45" s="104"/>
      <c r="AC45" s="104"/>
      <c r="AD45" s="104"/>
    </row>
    <row r="46" spans="1:30" ht="102">
      <c r="A46" s="234"/>
      <c r="B46" s="83" t="s">
        <v>106</v>
      </c>
      <c r="C46" s="83" t="s">
        <v>1757</v>
      </c>
      <c r="D46" s="142"/>
      <c r="E46" s="83" t="s">
        <v>1131</v>
      </c>
      <c r="F46" s="83" t="s">
        <v>1132</v>
      </c>
      <c r="G46" s="139" t="s">
        <v>188</v>
      </c>
      <c r="H46" s="128"/>
      <c r="I46" s="128"/>
      <c r="J46" s="128"/>
      <c r="K46" s="133"/>
      <c r="L46" s="105"/>
      <c r="M46" s="140"/>
      <c r="N46" s="105"/>
      <c r="O46" s="105"/>
      <c r="P46" s="105"/>
      <c r="Q46" s="105"/>
      <c r="R46" s="105"/>
      <c r="S46" s="105"/>
      <c r="T46" s="105"/>
      <c r="U46" s="105"/>
      <c r="V46" s="105"/>
      <c r="W46" s="105"/>
      <c r="X46" s="105"/>
      <c r="Y46" s="105"/>
      <c r="Z46" s="105"/>
      <c r="AA46" s="145"/>
      <c r="AB46" s="104"/>
      <c r="AC46" s="104"/>
      <c r="AD46" s="104"/>
    </row>
    <row r="47" spans="1:30" ht="38.25">
      <c r="A47" s="269" t="s">
        <v>1133</v>
      </c>
      <c r="B47" s="83" t="s">
        <v>107</v>
      </c>
      <c r="C47" s="261" t="s">
        <v>1134</v>
      </c>
      <c r="D47" s="142"/>
      <c r="E47" s="83" t="s">
        <v>1135</v>
      </c>
      <c r="F47" s="83" t="s">
        <v>108</v>
      </c>
      <c r="G47" s="139" t="s">
        <v>188</v>
      </c>
      <c r="H47" s="128"/>
      <c r="I47" s="128"/>
      <c r="J47" s="128"/>
      <c r="K47" s="133"/>
      <c r="L47" s="105"/>
      <c r="M47" s="140"/>
      <c r="N47" s="105"/>
      <c r="O47" s="105"/>
      <c r="P47" s="105"/>
      <c r="Q47" s="105"/>
      <c r="R47" s="105"/>
      <c r="S47" s="105"/>
      <c r="T47" s="105"/>
      <c r="U47" s="105"/>
      <c r="V47" s="105"/>
      <c r="W47" s="105"/>
      <c r="X47" s="105"/>
      <c r="Y47" s="105"/>
      <c r="Z47" s="105"/>
      <c r="AA47" s="145"/>
      <c r="AB47" s="104"/>
      <c r="AC47" s="104"/>
      <c r="AD47" s="104"/>
    </row>
    <row r="48" spans="1:30" ht="89.25">
      <c r="A48" s="235"/>
      <c r="B48" s="83" t="s">
        <v>109</v>
      </c>
      <c r="C48" s="235"/>
      <c r="D48" s="142"/>
      <c r="E48" s="83" t="s">
        <v>1136</v>
      </c>
      <c r="F48" s="83" t="s">
        <v>1137</v>
      </c>
      <c r="G48" s="139" t="s">
        <v>188</v>
      </c>
      <c r="H48" s="128"/>
      <c r="I48" s="128"/>
      <c r="J48" s="128"/>
      <c r="K48" s="133"/>
      <c r="L48" s="105"/>
      <c r="M48" s="140"/>
      <c r="N48" s="105"/>
      <c r="O48" s="105"/>
      <c r="P48" s="105"/>
      <c r="Q48" s="105"/>
      <c r="R48" s="105"/>
      <c r="S48" s="105"/>
      <c r="T48" s="105"/>
      <c r="U48" s="105"/>
      <c r="V48" s="105"/>
      <c r="W48" s="105"/>
      <c r="X48" s="105"/>
      <c r="Y48" s="105"/>
      <c r="Z48" s="105"/>
      <c r="AA48" s="145"/>
      <c r="AB48" s="104"/>
      <c r="AC48" s="104"/>
      <c r="AD48" s="104"/>
    </row>
    <row r="49" spans="1:30" ht="102">
      <c r="A49" s="235"/>
      <c r="B49" s="83" t="s">
        <v>110</v>
      </c>
      <c r="C49" s="235"/>
      <c r="D49" s="142"/>
      <c r="E49" s="83" t="s">
        <v>1138</v>
      </c>
      <c r="F49" s="83" t="s">
        <v>1139</v>
      </c>
      <c r="G49" s="139" t="s">
        <v>188</v>
      </c>
      <c r="H49" s="128"/>
      <c r="I49" s="128"/>
      <c r="J49" s="128"/>
      <c r="K49" s="133"/>
      <c r="L49" s="105"/>
      <c r="M49" s="140"/>
      <c r="N49" s="105"/>
      <c r="O49" s="105"/>
      <c r="P49" s="105"/>
      <c r="Q49" s="105"/>
      <c r="R49" s="105"/>
      <c r="S49" s="105"/>
      <c r="T49" s="105"/>
      <c r="U49" s="105"/>
      <c r="V49" s="105"/>
      <c r="W49" s="105"/>
      <c r="X49" s="105"/>
      <c r="Y49" s="105"/>
      <c r="Z49" s="105"/>
      <c r="AA49" s="145"/>
      <c r="AB49" s="104"/>
      <c r="AC49" s="104"/>
      <c r="AD49" s="104"/>
    </row>
    <row r="50" spans="1:30" ht="76.5">
      <c r="A50" s="235"/>
      <c r="B50" s="83" t="s">
        <v>111</v>
      </c>
      <c r="C50" s="235"/>
      <c r="D50" s="142"/>
      <c r="E50" s="83" t="s">
        <v>1140</v>
      </c>
      <c r="F50" s="83" t="s">
        <v>112</v>
      </c>
      <c r="G50" s="139" t="s">
        <v>188</v>
      </c>
      <c r="H50" s="128"/>
      <c r="I50" s="128"/>
      <c r="J50" s="128"/>
      <c r="K50" s="133"/>
      <c r="L50" s="105"/>
      <c r="M50" s="140"/>
      <c r="N50" s="105"/>
      <c r="O50" s="105"/>
      <c r="P50" s="105"/>
      <c r="Q50" s="105"/>
      <c r="R50" s="105"/>
      <c r="S50" s="105"/>
      <c r="T50" s="105"/>
      <c r="U50" s="105"/>
      <c r="V50" s="105"/>
      <c r="W50" s="105"/>
      <c r="X50" s="105"/>
      <c r="Y50" s="105"/>
      <c r="Z50" s="105"/>
      <c r="AA50" s="145"/>
      <c r="AB50" s="104"/>
      <c r="AC50" s="104"/>
      <c r="AD50" s="104"/>
    </row>
    <row r="51" spans="1:30" ht="51">
      <c r="A51" s="235"/>
      <c r="B51" s="83" t="s">
        <v>113</v>
      </c>
      <c r="C51" s="235"/>
      <c r="D51" s="142"/>
      <c r="E51" s="83" t="s">
        <v>114</v>
      </c>
      <c r="F51" s="83" t="s">
        <v>115</v>
      </c>
      <c r="G51" s="139" t="s">
        <v>188</v>
      </c>
      <c r="H51" s="128"/>
      <c r="I51" s="128"/>
      <c r="J51" s="128"/>
      <c r="K51" s="133"/>
      <c r="L51" s="105"/>
      <c r="M51" s="140"/>
      <c r="N51" s="105"/>
      <c r="O51" s="105"/>
      <c r="P51" s="105"/>
      <c r="Q51" s="105"/>
      <c r="R51" s="105"/>
      <c r="S51" s="105"/>
      <c r="T51" s="105"/>
      <c r="U51" s="105"/>
      <c r="V51" s="105"/>
      <c r="W51" s="105"/>
      <c r="X51" s="105"/>
      <c r="Y51" s="105"/>
      <c r="Z51" s="105"/>
      <c r="AA51" s="145"/>
      <c r="AB51" s="104"/>
      <c r="AC51" s="104"/>
      <c r="AD51" s="104"/>
    </row>
    <row r="52" spans="1:30" ht="51">
      <c r="A52" s="235"/>
      <c r="B52" s="83" t="s">
        <v>116</v>
      </c>
      <c r="C52" s="235"/>
      <c r="D52" s="142"/>
      <c r="E52" s="83" t="s">
        <v>117</v>
      </c>
      <c r="F52" s="83" t="s">
        <v>118</v>
      </c>
      <c r="G52" s="139" t="s">
        <v>188</v>
      </c>
      <c r="H52" s="128"/>
      <c r="I52" s="128"/>
      <c r="J52" s="128"/>
      <c r="K52" s="133"/>
      <c r="L52" s="105"/>
      <c r="M52" s="140"/>
      <c r="N52" s="105"/>
      <c r="O52" s="105"/>
      <c r="P52" s="105"/>
      <c r="Q52" s="105"/>
      <c r="R52" s="105"/>
      <c r="S52" s="105"/>
      <c r="T52" s="105"/>
      <c r="U52" s="105"/>
      <c r="V52" s="105"/>
      <c r="W52" s="105"/>
      <c r="X52" s="105"/>
      <c r="Y52" s="105"/>
      <c r="Z52" s="105"/>
      <c r="AA52" s="145"/>
      <c r="AB52" s="104"/>
      <c r="AC52" s="104"/>
      <c r="AD52" s="104"/>
    </row>
    <row r="53" spans="1:30" ht="63.75">
      <c r="A53" s="235"/>
      <c r="B53" s="83" t="s">
        <v>119</v>
      </c>
      <c r="C53" s="235"/>
      <c r="D53" s="142"/>
      <c r="E53" s="83" t="s">
        <v>1141</v>
      </c>
      <c r="F53" s="83" t="s">
        <v>1142</v>
      </c>
      <c r="G53" s="139" t="s">
        <v>188</v>
      </c>
      <c r="H53" s="128"/>
      <c r="I53" s="128"/>
      <c r="J53" s="128"/>
      <c r="K53" s="133"/>
      <c r="L53" s="105"/>
      <c r="M53" s="140"/>
      <c r="N53" s="105"/>
      <c r="O53" s="105"/>
      <c r="P53" s="105"/>
      <c r="Q53" s="105"/>
      <c r="R53" s="105"/>
      <c r="S53" s="105"/>
      <c r="T53" s="105"/>
      <c r="U53" s="105"/>
      <c r="V53" s="105"/>
      <c r="W53" s="105"/>
      <c r="X53" s="105"/>
      <c r="Y53" s="105"/>
      <c r="Z53" s="105"/>
      <c r="AA53" s="145"/>
      <c r="AB53" s="104"/>
      <c r="AC53" s="104"/>
      <c r="AD53" s="104"/>
    </row>
    <row r="54" spans="1:30" ht="51">
      <c r="A54" s="234"/>
      <c r="B54" s="83" t="s">
        <v>120</v>
      </c>
      <c r="C54" s="234"/>
      <c r="D54" s="142"/>
      <c r="E54" s="83" t="s">
        <v>1143</v>
      </c>
      <c r="F54" s="83" t="s">
        <v>121</v>
      </c>
      <c r="G54" s="139" t="s">
        <v>188</v>
      </c>
      <c r="H54" s="128"/>
      <c r="I54" s="128"/>
      <c r="J54" s="128"/>
      <c r="K54" s="133"/>
      <c r="L54" s="105"/>
      <c r="M54" s="140"/>
      <c r="N54" s="105"/>
      <c r="O54" s="105"/>
      <c r="P54" s="105"/>
      <c r="Q54" s="105"/>
      <c r="R54" s="105"/>
      <c r="S54" s="105"/>
      <c r="T54" s="105"/>
      <c r="U54" s="105"/>
      <c r="V54" s="105"/>
      <c r="W54" s="105"/>
      <c r="X54" s="105"/>
      <c r="Y54" s="105"/>
      <c r="Z54" s="105"/>
      <c r="AA54" s="145"/>
      <c r="AB54" s="104"/>
      <c r="AC54" s="104"/>
      <c r="AD54" s="104"/>
    </row>
    <row r="55" spans="1:30" ht="102">
      <c r="A55" s="141" t="s">
        <v>1144</v>
      </c>
      <c r="B55" s="83" t="s">
        <v>122</v>
      </c>
      <c r="C55" s="83" t="s">
        <v>1117</v>
      </c>
      <c r="D55" s="142"/>
      <c r="E55" s="83" t="s">
        <v>1145</v>
      </c>
      <c r="F55" s="83" t="s">
        <v>1146</v>
      </c>
      <c r="G55" s="139" t="s">
        <v>188</v>
      </c>
      <c r="H55" s="146"/>
      <c r="I55" s="128"/>
      <c r="J55" s="128"/>
      <c r="K55" s="133"/>
      <c r="L55" s="105"/>
      <c r="M55" s="140"/>
      <c r="N55" s="105"/>
      <c r="O55" s="105"/>
      <c r="P55" s="105"/>
      <c r="Q55" s="105"/>
      <c r="R55" s="105"/>
      <c r="S55" s="105"/>
      <c r="T55" s="105"/>
      <c r="U55" s="105"/>
      <c r="V55" s="105"/>
      <c r="W55" s="105"/>
      <c r="X55" s="105"/>
      <c r="Y55" s="105"/>
      <c r="Z55" s="105"/>
      <c r="AA55" s="145"/>
      <c r="AB55" s="104"/>
      <c r="AC55" s="104"/>
      <c r="AD55" s="104"/>
    </row>
    <row r="56" spans="1:30" ht="127.5">
      <c r="A56" s="141" t="s">
        <v>123</v>
      </c>
      <c r="B56" s="83" t="s">
        <v>124</v>
      </c>
      <c r="C56" s="83" t="s">
        <v>1117</v>
      </c>
      <c r="D56" s="142"/>
      <c r="E56" s="83" t="s">
        <v>1147</v>
      </c>
      <c r="F56" s="83" t="s">
        <v>1148</v>
      </c>
      <c r="G56" s="139" t="s">
        <v>188</v>
      </c>
      <c r="H56" s="146"/>
      <c r="I56" s="128"/>
      <c r="J56" s="128"/>
      <c r="K56" s="133"/>
      <c r="L56" s="105"/>
      <c r="M56" s="140"/>
      <c r="N56" s="105"/>
      <c r="O56" s="105"/>
      <c r="P56" s="105"/>
      <c r="Q56" s="105"/>
      <c r="R56" s="105"/>
      <c r="S56" s="105"/>
      <c r="T56" s="105"/>
      <c r="U56" s="105"/>
      <c r="V56" s="105"/>
      <c r="W56" s="105"/>
      <c r="X56" s="105"/>
      <c r="Y56" s="105"/>
      <c r="Z56" s="105"/>
      <c r="AA56" s="145"/>
      <c r="AB56" s="104"/>
      <c r="AC56" s="104"/>
      <c r="AD56" s="104"/>
    </row>
    <row r="57" spans="1:30" ht="51">
      <c r="A57" s="147"/>
      <c r="B57" s="83" t="s">
        <v>125</v>
      </c>
      <c r="C57" s="83" t="s">
        <v>1117</v>
      </c>
      <c r="D57" s="142"/>
      <c r="E57" s="83" t="s">
        <v>1149</v>
      </c>
      <c r="F57" s="83" t="s">
        <v>126</v>
      </c>
      <c r="G57" s="139" t="s">
        <v>188</v>
      </c>
      <c r="H57" s="128"/>
      <c r="I57" s="128"/>
      <c r="J57" s="128"/>
      <c r="K57" s="133"/>
      <c r="L57" s="105"/>
      <c r="M57" s="140"/>
      <c r="N57" s="105"/>
      <c r="O57" s="105"/>
      <c r="P57" s="105"/>
      <c r="Q57" s="105"/>
      <c r="R57" s="105"/>
      <c r="S57" s="105"/>
      <c r="T57" s="105"/>
      <c r="U57" s="105"/>
      <c r="V57" s="105"/>
      <c r="W57" s="105"/>
      <c r="X57" s="105"/>
      <c r="Y57" s="105"/>
      <c r="Z57" s="105"/>
      <c r="AA57" s="145"/>
      <c r="AB57" s="104"/>
      <c r="AC57" s="104"/>
      <c r="AD57" s="104"/>
    </row>
    <row r="58" spans="1:30" ht="63.75">
      <c r="A58" s="141" t="s">
        <v>127</v>
      </c>
      <c r="B58" s="83" t="s">
        <v>128</v>
      </c>
      <c r="C58" s="83" t="s">
        <v>1117</v>
      </c>
      <c r="D58" s="142"/>
      <c r="E58" s="83" t="s">
        <v>1150</v>
      </c>
      <c r="F58" s="83" t="s">
        <v>129</v>
      </c>
      <c r="G58" s="139" t="s">
        <v>188</v>
      </c>
      <c r="H58" s="128"/>
      <c r="I58" s="128"/>
      <c r="J58" s="128"/>
      <c r="K58" s="133"/>
      <c r="L58" s="105"/>
      <c r="M58" s="140"/>
      <c r="N58" s="105"/>
      <c r="O58" s="105"/>
      <c r="P58" s="105"/>
      <c r="Q58" s="105"/>
      <c r="R58" s="105"/>
      <c r="S58" s="105"/>
      <c r="T58" s="105"/>
      <c r="U58" s="105"/>
      <c r="V58" s="105"/>
      <c r="W58" s="105"/>
      <c r="X58" s="105"/>
      <c r="Y58" s="105"/>
      <c r="Z58" s="105"/>
      <c r="AA58" s="145"/>
      <c r="AB58" s="104"/>
      <c r="AC58" s="104"/>
      <c r="AD58" s="104"/>
    </row>
    <row r="59" spans="1:30" ht="102">
      <c r="A59" s="141" t="s">
        <v>130</v>
      </c>
      <c r="B59" s="83" t="s">
        <v>131</v>
      </c>
      <c r="C59" s="83" t="s">
        <v>1117</v>
      </c>
      <c r="D59" s="142"/>
      <c r="E59" s="83" t="s">
        <v>1151</v>
      </c>
      <c r="F59" s="83" t="s">
        <v>1152</v>
      </c>
      <c r="G59" s="139" t="s">
        <v>188</v>
      </c>
      <c r="H59" s="128"/>
      <c r="I59" s="128"/>
      <c r="J59" s="128"/>
      <c r="K59" s="133"/>
      <c r="L59" s="105"/>
      <c r="M59" s="140"/>
      <c r="N59" s="105"/>
      <c r="O59" s="105"/>
      <c r="P59" s="105"/>
      <c r="Q59" s="105"/>
      <c r="R59" s="105"/>
      <c r="S59" s="105"/>
      <c r="T59" s="105"/>
      <c r="U59" s="105"/>
      <c r="V59" s="105"/>
      <c r="W59" s="105"/>
      <c r="X59" s="105"/>
      <c r="Y59" s="105"/>
      <c r="Z59" s="105"/>
      <c r="AA59" s="145"/>
      <c r="AB59" s="104"/>
      <c r="AC59" s="104"/>
      <c r="AD59" s="104"/>
    </row>
    <row r="60" spans="1:30" ht="13.5">
      <c r="A60" s="262" t="s">
        <v>132</v>
      </c>
      <c r="B60" s="237"/>
      <c r="C60" s="237"/>
      <c r="D60" s="237"/>
      <c r="E60" s="237"/>
      <c r="F60" s="237"/>
      <c r="G60" s="237"/>
      <c r="H60" s="237"/>
      <c r="I60" s="237"/>
      <c r="J60" s="238"/>
      <c r="K60" s="148"/>
      <c r="L60" s="107"/>
      <c r="M60" s="107"/>
      <c r="N60" s="107"/>
      <c r="O60" s="107"/>
      <c r="P60" s="107"/>
      <c r="Q60" s="107"/>
      <c r="R60" s="107"/>
      <c r="S60" s="107"/>
      <c r="T60" s="107"/>
      <c r="U60" s="107"/>
      <c r="V60" s="107"/>
      <c r="W60" s="107"/>
      <c r="X60" s="107"/>
      <c r="Y60" s="107"/>
      <c r="Z60" s="107"/>
      <c r="AA60" s="108"/>
      <c r="AB60" s="104"/>
      <c r="AC60" s="104"/>
      <c r="AD60" s="104"/>
    </row>
    <row r="61" spans="1:30" ht="76.5">
      <c r="A61" s="141" t="s">
        <v>133</v>
      </c>
      <c r="B61" s="83" t="s">
        <v>134</v>
      </c>
      <c r="C61" s="83" t="s">
        <v>135</v>
      </c>
      <c r="D61" s="142"/>
      <c r="E61" s="83" t="s">
        <v>1153</v>
      </c>
      <c r="F61" s="83" t="s">
        <v>136</v>
      </c>
      <c r="G61" s="139" t="s">
        <v>188</v>
      </c>
      <c r="H61" s="128"/>
      <c r="I61" s="128"/>
      <c r="J61" s="128"/>
      <c r="K61" s="149"/>
      <c r="L61" s="107"/>
      <c r="M61" s="140"/>
      <c r="N61" s="107"/>
      <c r="O61" s="107"/>
      <c r="P61" s="107"/>
      <c r="Q61" s="107"/>
      <c r="R61" s="107"/>
      <c r="S61" s="107"/>
      <c r="T61" s="107"/>
      <c r="U61" s="107"/>
      <c r="V61" s="107"/>
      <c r="W61" s="107"/>
      <c r="X61" s="107"/>
      <c r="Y61" s="107"/>
      <c r="Z61" s="107"/>
      <c r="AA61" s="108"/>
      <c r="AB61" s="104"/>
      <c r="AC61" s="104"/>
      <c r="AD61" s="104"/>
    </row>
    <row r="62" spans="1:30" ht="38.25">
      <c r="A62" s="141" t="s">
        <v>1154</v>
      </c>
      <c r="B62" s="83" t="s">
        <v>137</v>
      </c>
      <c r="C62" s="83" t="s">
        <v>1155</v>
      </c>
      <c r="D62" s="142"/>
      <c r="E62" s="83" t="s">
        <v>1153</v>
      </c>
      <c r="F62" s="83" t="s">
        <v>138</v>
      </c>
      <c r="G62" s="139" t="s">
        <v>188</v>
      </c>
      <c r="H62" s="128"/>
      <c r="I62" s="128"/>
      <c r="J62" s="128"/>
      <c r="K62" s="149"/>
      <c r="L62" s="107"/>
      <c r="M62" s="140"/>
      <c r="N62" s="107"/>
      <c r="O62" s="107"/>
      <c r="P62" s="107"/>
      <c r="Q62" s="107"/>
      <c r="R62" s="107"/>
      <c r="S62" s="107"/>
      <c r="T62" s="107"/>
      <c r="U62" s="107"/>
      <c r="V62" s="107"/>
      <c r="W62" s="107"/>
      <c r="X62" s="107"/>
      <c r="Y62" s="107"/>
      <c r="Z62" s="107"/>
      <c r="AA62" s="108"/>
      <c r="AB62" s="104"/>
      <c r="AC62" s="104"/>
      <c r="AD62" s="104"/>
    </row>
    <row r="63" spans="1:30" ht="63.75">
      <c r="A63" s="269" t="s">
        <v>139</v>
      </c>
      <c r="B63" s="83" t="s">
        <v>140</v>
      </c>
      <c r="C63" s="83" t="s">
        <v>141</v>
      </c>
      <c r="D63" s="142"/>
      <c r="E63" s="83" t="s">
        <v>1156</v>
      </c>
      <c r="F63" s="83" t="s">
        <v>142</v>
      </c>
      <c r="G63" s="139" t="s">
        <v>188</v>
      </c>
      <c r="H63" s="128"/>
      <c r="I63" s="128"/>
      <c r="J63" s="128"/>
      <c r="K63" s="149"/>
      <c r="L63" s="107"/>
      <c r="M63" s="140"/>
      <c r="N63" s="107"/>
      <c r="O63" s="107"/>
      <c r="P63" s="107"/>
      <c r="Q63" s="107"/>
      <c r="R63" s="107"/>
      <c r="S63" s="107"/>
      <c r="T63" s="107"/>
      <c r="U63" s="107"/>
      <c r="V63" s="107"/>
      <c r="W63" s="107"/>
      <c r="X63" s="107"/>
      <c r="Y63" s="107"/>
      <c r="Z63" s="107"/>
      <c r="AA63" s="108"/>
      <c r="AB63" s="104"/>
      <c r="AC63" s="104"/>
      <c r="AD63" s="104"/>
    </row>
    <row r="64" spans="1:30" ht="63.75">
      <c r="A64" s="235"/>
      <c r="B64" s="83" t="s">
        <v>1157</v>
      </c>
      <c r="C64" s="83" t="s">
        <v>1158</v>
      </c>
      <c r="D64" s="142"/>
      <c r="E64" s="83" t="s">
        <v>143</v>
      </c>
      <c r="F64" s="83" t="s">
        <v>1159</v>
      </c>
      <c r="G64" s="139" t="s">
        <v>188</v>
      </c>
      <c r="H64" s="128"/>
      <c r="I64" s="128"/>
      <c r="J64" s="128"/>
      <c r="K64" s="149"/>
      <c r="L64" s="107"/>
      <c r="M64" s="140"/>
      <c r="N64" s="107"/>
      <c r="O64" s="107"/>
      <c r="P64" s="107"/>
      <c r="Q64" s="107"/>
      <c r="R64" s="107"/>
      <c r="S64" s="107"/>
      <c r="T64" s="107"/>
      <c r="U64" s="107"/>
      <c r="V64" s="107"/>
      <c r="W64" s="107"/>
      <c r="X64" s="107"/>
      <c r="Y64" s="107"/>
      <c r="Z64" s="107"/>
      <c r="AA64" s="108"/>
      <c r="AB64" s="104"/>
      <c r="AC64" s="104"/>
      <c r="AD64" s="104"/>
    </row>
    <row r="65" spans="1:30" ht="89.25">
      <c r="A65" s="235"/>
      <c r="B65" s="83" t="s">
        <v>144</v>
      </c>
      <c r="C65" s="83" t="s">
        <v>1160</v>
      </c>
      <c r="D65" s="142"/>
      <c r="E65" s="83" t="s">
        <v>1161</v>
      </c>
      <c r="F65" s="83" t="s">
        <v>145</v>
      </c>
      <c r="G65" s="139" t="s">
        <v>188</v>
      </c>
      <c r="H65" s="150"/>
      <c r="I65" s="128"/>
      <c r="J65" s="128"/>
      <c r="K65" s="149"/>
      <c r="L65" s="107"/>
      <c r="M65" s="140"/>
      <c r="N65" s="107"/>
      <c r="O65" s="107"/>
      <c r="P65" s="107"/>
      <c r="Q65" s="107"/>
      <c r="R65" s="107"/>
      <c r="S65" s="107"/>
      <c r="T65" s="107"/>
      <c r="U65" s="107"/>
      <c r="V65" s="107"/>
      <c r="W65" s="107"/>
      <c r="X65" s="107"/>
      <c r="Y65" s="107"/>
      <c r="Z65" s="107"/>
      <c r="AA65" s="108"/>
      <c r="AB65" s="104"/>
      <c r="AC65" s="104"/>
      <c r="AD65" s="104"/>
    </row>
    <row r="66" spans="1:30" ht="89.25">
      <c r="A66" s="235"/>
      <c r="B66" s="83" t="s">
        <v>146</v>
      </c>
      <c r="C66" s="83" t="s">
        <v>1160</v>
      </c>
      <c r="D66" s="142"/>
      <c r="E66" s="83" t="s">
        <v>1162</v>
      </c>
      <c r="F66" s="83" t="s">
        <v>147</v>
      </c>
      <c r="G66" s="139" t="s">
        <v>188</v>
      </c>
      <c r="H66" s="128"/>
      <c r="I66" s="128"/>
      <c r="J66" s="128"/>
      <c r="K66" s="149"/>
      <c r="L66" s="107"/>
      <c r="M66" s="140"/>
      <c r="N66" s="107"/>
      <c r="O66" s="107"/>
      <c r="P66" s="107"/>
      <c r="Q66" s="107"/>
      <c r="R66" s="107"/>
      <c r="S66" s="107"/>
      <c r="T66" s="107"/>
      <c r="U66" s="107"/>
      <c r="V66" s="107"/>
      <c r="W66" s="107"/>
      <c r="X66" s="107"/>
      <c r="Y66" s="107"/>
      <c r="Z66" s="107"/>
      <c r="AA66" s="108"/>
      <c r="AB66" s="104"/>
      <c r="AC66" s="104"/>
      <c r="AD66" s="104"/>
    </row>
    <row r="67" spans="1:30" ht="89.25">
      <c r="A67" s="235"/>
      <c r="B67" s="83" t="s">
        <v>148</v>
      </c>
      <c r="C67" s="83" t="s">
        <v>1160</v>
      </c>
      <c r="D67" s="142"/>
      <c r="E67" s="83" t="s">
        <v>1758</v>
      </c>
      <c r="F67" s="83" t="s">
        <v>149</v>
      </c>
      <c r="G67" s="139" t="s">
        <v>188</v>
      </c>
      <c r="H67" s="128"/>
      <c r="I67" s="128"/>
      <c r="J67" s="128"/>
      <c r="K67" s="149"/>
      <c r="L67" s="107"/>
      <c r="M67" s="140"/>
      <c r="N67" s="107"/>
      <c r="O67" s="107"/>
      <c r="P67" s="107"/>
      <c r="Q67" s="107"/>
      <c r="R67" s="107"/>
      <c r="S67" s="107"/>
      <c r="T67" s="107"/>
      <c r="U67" s="107"/>
      <c r="V67" s="107"/>
      <c r="W67" s="107"/>
      <c r="X67" s="107"/>
      <c r="Y67" s="107"/>
      <c r="Z67" s="107"/>
      <c r="AA67" s="108"/>
      <c r="AB67" s="104"/>
      <c r="AC67" s="104"/>
      <c r="AD67" s="104"/>
    </row>
    <row r="68" spans="1:30" ht="89.25">
      <c r="A68" s="235"/>
      <c r="B68" s="83" t="s">
        <v>150</v>
      </c>
      <c r="C68" s="83" t="s">
        <v>1160</v>
      </c>
      <c r="D68" s="142"/>
      <c r="E68" s="83" t="s">
        <v>151</v>
      </c>
      <c r="F68" s="83" t="s">
        <v>1163</v>
      </c>
      <c r="G68" s="139" t="s">
        <v>188</v>
      </c>
      <c r="H68" s="83"/>
      <c r="I68" s="128"/>
      <c r="J68" s="128"/>
      <c r="K68" s="149"/>
      <c r="L68" s="107"/>
      <c r="M68" s="140"/>
      <c r="N68" s="107"/>
      <c r="O68" s="107"/>
      <c r="P68" s="107"/>
      <c r="Q68" s="107"/>
      <c r="R68" s="107"/>
      <c r="S68" s="107"/>
      <c r="T68" s="107"/>
      <c r="U68" s="107"/>
      <c r="V68" s="107"/>
      <c r="W68" s="107"/>
      <c r="X68" s="107"/>
      <c r="Y68" s="107"/>
      <c r="Z68" s="107"/>
      <c r="AA68" s="108"/>
      <c r="AB68" s="104"/>
      <c r="AC68" s="104"/>
      <c r="AD68" s="104"/>
    </row>
    <row r="69" spans="1:30" ht="114.75">
      <c r="A69" s="235"/>
      <c r="B69" s="83" t="s">
        <v>152</v>
      </c>
      <c r="C69" s="83" t="s">
        <v>1158</v>
      </c>
      <c r="D69" s="142"/>
      <c r="E69" s="83" t="s">
        <v>1759</v>
      </c>
      <c r="F69" s="83" t="s">
        <v>1164</v>
      </c>
      <c r="G69" s="139" t="s">
        <v>188</v>
      </c>
      <c r="H69" s="128"/>
      <c r="I69" s="128"/>
      <c r="J69" s="128"/>
      <c r="K69" s="149"/>
      <c r="L69" s="107"/>
      <c r="M69" s="140"/>
      <c r="N69" s="107"/>
      <c r="O69" s="107"/>
      <c r="P69" s="107"/>
      <c r="Q69" s="107"/>
      <c r="R69" s="107"/>
      <c r="S69" s="107"/>
      <c r="T69" s="107"/>
      <c r="U69" s="107"/>
      <c r="V69" s="107"/>
      <c r="W69" s="107"/>
      <c r="X69" s="107"/>
      <c r="Y69" s="107"/>
      <c r="Z69" s="107"/>
      <c r="AA69" s="108"/>
      <c r="AB69" s="104"/>
      <c r="AC69" s="104"/>
      <c r="AD69" s="104"/>
    </row>
    <row r="70" spans="1:30" ht="102">
      <c r="A70" s="234"/>
      <c r="B70" s="83" t="s">
        <v>153</v>
      </c>
      <c r="C70" s="83" t="s">
        <v>1165</v>
      </c>
      <c r="D70" s="142"/>
      <c r="E70" s="83" t="s">
        <v>1760</v>
      </c>
      <c r="F70" s="83" t="s">
        <v>1166</v>
      </c>
      <c r="G70" s="139" t="s">
        <v>188</v>
      </c>
      <c r="H70" s="128"/>
      <c r="I70" s="128"/>
      <c r="J70" s="128"/>
      <c r="K70" s="149"/>
      <c r="L70" s="107"/>
      <c r="M70" s="140"/>
      <c r="N70" s="107"/>
      <c r="O70" s="107"/>
      <c r="P70" s="107"/>
      <c r="Q70" s="107"/>
      <c r="R70" s="107"/>
      <c r="S70" s="107"/>
      <c r="T70" s="107"/>
      <c r="U70" s="107"/>
      <c r="V70" s="107"/>
      <c r="W70" s="107"/>
      <c r="X70" s="107"/>
      <c r="Y70" s="107"/>
      <c r="Z70" s="107"/>
      <c r="AA70" s="108"/>
      <c r="AB70" s="104"/>
      <c r="AC70" s="104"/>
      <c r="AD70" s="104"/>
    </row>
    <row r="71" spans="1:30" ht="63.75">
      <c r="A71" s="269" t="s">
        <v>1167</v>
      </c>
      <c r="B71" s="83" t="s">
        <v>1168</v>
      </c>
      <c r="C71" s="83" t="s">
        <v>141</v>
      </c>
      <c r="D71" s="142"/>
      <c r="E71" s="83" t="s">
        <v>1156</v>
      </c>
      <c r="F71" s="83" t="s">
        <v>154</v>
      </c>
      <c r="G71" s="139" t="s">
        <v>188</v>
      </c>
      <c r="H71" s="128"/>
      <c r="I71" s="128"/>
      <c r="J71" s="128"/>
      <c r="K71" s="149"/>
      <c r="L71" s="107"/>
      <c r="M71" s="140"/>
      <c r="N71" s="107"/>
      <c r="O71" s="107"/>
      <c r="P71" s="107"/>
      <c r="Q71" s="107"/>
      <c r="R71" s="107"/>
      <c r="S71" s="107"/>
      <c r="T71" s="107"/>
      <c r="U71" s="107"/>
      <c r="V71" s="107"/>
      <c r="W71" s="107"/>
      <c r="X71" s="107"/>
      <c r="Y71" s="107"/>
      <c r="Z71" s="107"/>
      <c r="AA71" s="108"/>
      <c r="AB71" s="104"/>
      <c r="AC71" s="104"/>
      <c r="AD71" s="104"/>
    </row>
    <row r="72" spans="1:30" ht="102">
      <c r="A72" s="234"/>
      <c r="B72" s="83" t="s">
        <v>155</v>
      </c>
      <c r="C72" s="83" t="s">
        <v>1169</v>
      </c>
      <c r="D72" s="142"/>
      <c r="E72" s="83" t="s">
        <v>1170</v>
      </c>
      <c r="F72" s="83" t="s">
        <v>1171</v>
      </c>
      <c r="G72" s="139" t="s">
        <v>188</v>
      </c>
      <c r="H72" s="128"/>
      <c r="I72" s="128"/>
      <c r="J72" s="128"/>
      <c r="K72" s="149"/>
      <c r="L72" s="107"/>
      <c r="M72" s="140"/>
      <c r="N72" s="107"/>
      <c r="O72" s="107"/>
      <c r="P72" s="107"/>
      <c r="Q72" s="107"/>
      <c r="R72" s="107"/>
      <c r="S72" s="107"/>
      <c r="T72" s="107"/>
      <c r="U72" s="107"/>
      <c r="V72" s="107"/>
      <c r="W72" s="107"/>
      <c r="X72" s="107"/>
      <c r="Y72" s="107"/>
      <c r="Z72" s="107"/>
      <c r="AA72" s="108"/>
      <c r="AB72" s="104"/>
      <c r="AC72" s="104"/>
      <c r="AD72" s="104"/>
    </row>
    <row r="73" spans="1:30" ht="51">
      <c r="A73" s="269" t="s">
        <v>1172</v>
      </c>
      <c r="B73" s="83" t="s">
        <v>156</v>
      </c>
      <c r="C73" s="83" t="s">
        <v>1169</v>
      </c>
      <c r="D73" s="142"/>
      <c r="E73" s="83" t="s">
        <v>1173</v>
      </c>
      <c r="F73" s="83" t="s">
        <v>157</v>
      </c>
      <c r="G73" s="139" t="s">
        <v>188</v>
      </c>
      <c r="H73" s="128"/>
      <c r="I73" s="128"/>
      <c r="J73" s="128"/>
      <c r="K73" s="149"/>
      <c r="L73" s="107"/>
      <c r="M73" s="140"/>
      <c r="N73" s="107"/>
      <c r="O73" s="107"/>
      <c r="P73" s="107"/>
      <c r="Q73" s="107"/>
      <c r="R73" s="107"/>
      <c r="S73" s="107"/>
      <c r="T73" s="107"/>
      <c r="U73" s="107"/>
      <c r="V73" s="107"/>
      <c r="W73" s="107"/>
      <c r="X73" s="107"/>
      <c r="Y73" s="107"/>
      <c r="Z73" s="107"/>
      <c r="AA73" s="108"/>
      <c r="AB73" s="104"/>
      <c r="AC73" s="104"/>
      <c r="AD73" s="104"/>
    </row>
    <row r="74" spans="1:30" ht="102">
      <c r="A74" s="235"/>
      <c r="B74" s="83" t="s">
        <v>158</v>
      </c>
      <c r="C74" s="83" t="s">
        <v>1155</v>
      </c>
      <c r="D74" s="142"/>
      <c r="E74" s="83" t="s">
        <v>1174</v>
      </c>
      <c r="F74" s="83" t="s">
        <v>1175</v>
      </c>
      <c r="G74" s="139" t="s">
        <v>188</v>
      </c>
      <c r="H74" s="83"/>
      <c r="I74" s="128"/>
      <c r="J74" s="128"/>
      <c r="K74" s="149"/>
      <c r="L74" s="107"/>
      <c r="M74" s="140"/>
      <c r="N74" s="107"/>
      <c r="O74" s="107"/>
      <c r="P74" s="107"/>
      <c r="Q74" s="107"/>
      <c r="R74" s="107"/>
      <c r="S74" s="107"/>
      <c r="T74" s="107"/>
      <c r="U74" s="107"/>
      <c r="V74" s="107"/>
      <c r="W74" s="107"/>
      <c r="X74" s="107"/>
      <c r="Y74" s="107"/>
      <c r="Z74" s="107"/>
      <c r="AA74" s="108"/>
      <c r="AB74" s="104"/>
      <c r="AC74" s="104"/>
      <c r="AD74" s="104"/>
    </row>
    <row r="75" spans="1:30" ht="63.75">
      <c r="A75" s="235"/>
      <c r="B75" s="83" t="s">
        <v>159</v>
      </c>
      <c r="C75" s="83" t="s">
        <v>1155</v>
      </c>
      <c r="D75" s="142"/>
      <c r="E75" s="83" t="s">
        <v>1176</v>
      </c>
      <c r="F75" s="83" t="s">
        <v>160</v>
      </c>
      <c r="G75" s="139" t="s">
        <v>188</v>
      </c>
      <c r="H75" s="128"/>
      <c r="I75" s="128"/>
      <c r="J75" s="128"/>
      <c r="K75" s="149"/>
      <c r="L75" s="107"/>
      <c r="M75" s="140"/>
      <c r="N75" s="107"/>
      <c r="O75" s="107"/>
      <c r="P75" s="107"/>
      <c r="Q75" s="107"/>
      <c r="R75" s="107"/>
      <c r="S75" s="107"/>
      <c r="T75" s="107"/>
      <c r="U75" s="107"/>
      <c r="V75" s="107"/>
      <c r="W75" s="107"/>
      <c r="X75" s="107"/>
      <c r="Y75" s="107"/>
      <c r="Z75" s="107"/>
      <c r="AA75" s="108"/>
      <c r="AB75" s="104"/>
      <c r="AC75" s="104"/>
      <c r="AD75" s="104"/>
    </row>
    <row r="76" spans="1:30" ht="89.25">
      <c r="A76" s="235"/>
      <c r="B76" s="83" t="s">
        <v>161</v>
      </c>
      <c r="C76" s="83" t="s">
        <v>1155</v>
      </c>
      <c r="D76" s="142"/>
      <c r="E76" s="83" t="s">
        <v>1177</v>
      </c>
      <c r="F76" s="83" t="s">
        <v>162</v>
      </c>
      <c r="G76" s="139" t="s">
        <v>188</v>
      </c>
      <c r="H76" s="128"/>
      <c r="I76" s="128"/>
      <c r="J76" s="128"/>
      <c r="K76" s="149"/>
      <c r="L76" s="107"/>
      <c r="M76" s="140"/>
      <c r="N76" s="107"/>
      <c r="O76" s="107"/>
      <c r="P76" s="107"/>
      <c r="Q76" s="107"/>
      <c r="R76" s="107"/>
      <c r="S76" s="107"/>
      <c r="T76" s="107"/>
      <c r="U76" s="107"/>
      <c r="V76" s="107"/>
      <c r="W76" s="107"/>
      <c r="X76" s="107"/>
      <c r="Y76" s="107"/>
      <c r="Z76" s="107"/>
      <c r="AA76" s="108"/>
      <c r="AB76" s="104"/>
      <c r="AC76" s="104"/>
      <c r="AD76" s="104"/>
    </row>
    <row r="77" spans="1:30" ht="51">
      <c r="A77" s="235"/>
      <c r="B77" s="83" t="s">
        <v>163</v>
      </c>
      <c r="C77" s="83" t="s">
        <v>1155</v>
      </c>
      <c r="D77" s="142"/>
      <c r="E77" s="83" t="s">
        <v>1178</v>
      </c>
      <c r="F77" s="83" t="s">
        <v>164</v>
      </c>
      <c r="G77" s="139" t="s">
        <v>188</v>
      </c>
      <c r="H77" s="83"/>
      <c r="I77" s="128"/>
      <c r="J77" s="128"/>
      <c r="K77" s="149"/>
      <c r="L77" s="107"/>
      <c r="M77" s="140"/>
      <c r="N77" s="107"/>
      <c r="O77" s="107"/>
      <c r="P77" s="107"/>
      <c r="Q77" s="107"/>
      <c r="R77" s="107"/>
      <c r="S77" s="107"/>
      <c r="T77" s="107"/>
      <c r="U77" s="107"/>
      <c r="V77" s="107"/>
      <c r="W77" s="107"/>
      <c r="X77" s="107"/>
      <c r="Y77" s="107"/>
      <c r="Z77" s="107"/>
      <c r="AA77" s="108"/>
      <c r="AB77" s="104"/>
      <c r="AC77" s="104"/>
      <c r="AD77" s="104"/>
    </row>
    <row r="78" spans="1:30" ht="63.75">
      <c r="A78" s="234"/>
      <c r="B78" s="83" t="s">
        <v>165</v>
      </c>
      <c r="C78" s="83" t="s">
        <v>1155</v>
      </c>
      <c r="D78" s="142"/>
      <c r="E78" s="83" t="s">
        <v>1179</v>
      </c>
      <c r="F78" s="83" t="s">
        <v>166</v>
      </c>
      <c r="G78" s="139" t="s">
        <v>188</v>
      </c>
      <c r="H78" s="128"/>
      <c r="I78" s="128"/>
      <c r="J78" s="128"/>
      <c r="K78" s="149"/>
      <c r="L78" s="107"/>
      <c r="M78" s="140"/>
      <c r="N78" s="107"/>
      <c r="O78" s="107"/>
      <c r="P78" s="107"/>
      <c r="Q78" s="107"/>
      <c r="R78" s="107"/>
      <c r="S78" s="107"/>
      <c r="T78" s="107"/>
      <c r="U78" s="107"/>
      <c r="V78" s="107"/>
      <c r="W78" s="107"/>
      <c r="X78" s="107"/>
      <c r="Y78" s="107"/>
      <c r="Z78" s="107"/>
      <c r="AA78" s="108"/>
      <c r="AB78" s="104"/>
      <c r="AC78" s="104"/>
      <c r="AD78" s="104"/>
    </row>
    <row r="79" spans="1:30" ht="76.5">
      <c r="A79" s="269" t="s">
        <v>167</v>
      </c>
      <c r="B79" s="83" t="s">
        <v>168</v>
      </c>
      <c r="C79" s="83" t="s">
        <v>1180</v>
      </c>
      <c r="D79" s="142"/>
      <c r="E79" s="83" t="s">
        <v>1181</v>
      </c>
      <c r="F79" s="83" t="s">
        <v>169</v>
      </c>
      <c r="G79" s="139" t="s">
        <v>188</v>
      </c>
      <c r="H79" s="128"/>
      <c r="I79" s="128"/>
      <c r="J79" s="128"/>
      <c r="K79" s="149"/>
      <c r="L79" s="107"/>
      <c r="M79" s="140"/>
      <c r="N79" s="107"/>
      <c r="O79" s="107"/>
      <c r="P79" s="107"/>
      <c r="Q79" s="107"/>
      <c r="R79" s="107"/>
      <c r="S79" s="107"/>
      <c r="T79" s="107"/>
      <c r="U79" s="107"/>
      <c r="V79" s="107"/>
      <c r="W79" s="107"/>
      <c r="X79" s="107"/>
      <c r="Y79" s="107"/>
      <c r="Z79" s="107"/>
      <c r="AA79" s="108"/>
      <c r="AB79" s="104"/>
      <c r="AC79" s="104"/>
      <c r="AD79" s="104"/>
    </row>
    <row r="80" spans="1:30" ht="76.5">
      <c r="A80" s="235"/>
      <c r="B80" s="83" t="s">
        <v>170</v>
      </c>
      <c r="C80" s="83" t="s">
        <v>1180</v>
      </c>
      <c r="D80" s="142"/>
      <c r="E80" s="83" t="s">
        <v>1182</v>
      </c>
      <c r="F80" s="83" t="s">
        <v>1183</v>
      </c>
      <c r="G80" s="139" t="s">
        <v>188</v>
      </c>
      <c r="H80" s="83"/>
      <c r="I80" s="128"/>
      <c r="J80" s="128"/>
      <c r="K80" s="149"/>
      <c r="L80" s="107"/>
      <c r="M80" s="140"/>
      <c r="N80" s="107"/>
      <c r="O80" s="107"/>
      <c r="P80" s="107"/>
      <c r="Q80" s="107"/>
      <c r="R80" s="107"/>
      <c r="S80" s="107"/>
      <c r="T80" s="107"/>
      <c r="U80" s="107"/>
      <c r="V80" s="107"/>
      <c r="W80" s="107"/>
      <c r="X80" s="107"/>
      <c r="Y80" s="107"/>
      <c r="Z80" s="107"/>
      <c r="AA80" s="108"/>
      <c r="AB80" s="104"/>
      <c r="AC80" s="104"/>
      <c r="AD80" s="104"/>
    </row>
    <row r="81" spans="1:30" ht="89.25">
      <c r="A81" s="235"/>
      <c r="B81" s="83" t="s">
        <v>1761</v>
      </c>
      <c r="C81" s="83" t="s">
        <v>1180</v>
      </c>
      <c r="D81" s="142"/>
      <c r="E81" s="83" t="s">
        <v>1762</v>
      </c>
      <c r="F81" s="83" t="s">
        <v>171</v>
      </c>
      <c r="G81" s="139" t="s">
        <v>188</v>
      </c>
      <c r="H81" s="128"/>
      <c r="I81" s="128"/>
      <c r="J81" s="128"/>
      <c r="K81" s="149"/>
      <c r="L81" s="107"/>
      <c r="M81" s="140"/>
      <c r="N81" s="107"/>
      <c r="O81" s="107"/>
      <c r="P81" s="107"/>
      <c r="Q81" s="107"/>
      <c r="R81" s="107"/>
      <c r="S81" s="107"/>
      <c r="T81" s="107"/>
      <c r="U81" s="107"/>
      <c r="V81" s="107"/>
      <c r="W81" s="107"/>
      <c r="X81" s="107"/>
      <c r="Y81" s="107"/>
      <c r="Z81" s="107"/>
      <c r="AA81" s="108"/>
      <c r="AB81" s="104"/>
      <c r="AC81" s="104"/>
      <c r="AD81" s="104"/>
    </row>
    <row r="82" spans="1:30" ht="76.5">
      <c r="A82" s="235"/>
      <c r="B82" s="83" t="s">
        <v>172</v>
      </c>
      <c r="C82" s="83" t="s">
        <v>1180</v>
      </c>
      <c r="D82" s="142"/>
      <c r="E82" s="83" t="s">
        <v>1184</v>
      </c>
      <c r="F82" s="83" t="s">
        <v>173</v>
      </c>
      <c r="G82" s="139" t="s">
        <v>188</v>
      </c>
      <c r="H82" s="83"/>
      <c r="I82" s="128"/>
      <c r="J82" s="128"/>
      <c r="K82" s="149"/>
      <c r="L82" s="107"/>
      <c r="M82" s="140"/>
      <c r="N82" s="107"/>
      <c r="O82" s="107"/>
      <c r="P82" s="107"/>
      <c r="Q82" s="107"/>
      <c r="R82" s="107"/>
      <c r="S82" s="107"/>
      <c r="T82" s="107"/>
      <c r="U82" s="107"/>
      <c r="V82" s="107"/>
      <c r="W82" s="107"/>
      <c r="X82" s="107"/>
      <c r="Y82" s="107"/>
      <c r="Z82" s="107"/>
      <c r="AA82" s="108"/>
      <c r="AB82" s="104"/>
      <c r="AC82" s="104"/>
      <c r="AD82" s="104"/>
    </row>
    <row r="83" spans="1:30" ht="76.5">
      <c r="A83" s="235"/>
      <c r="B83" s="83" t="s">
        <v>174</v>
      </c>
      <c r="C83" s="83" t="s">
        <v>1180</v>
      </c>
      <c r="D83" s="142"/>
      <c r="E83" s="83" t="s">
        <v>1185</v>
      </c>
      <c r="F83" s="83" t="s">
        <v>175</v>
      </c>
      <c r="G83" s="139" t="s">
        <v>188</v>
      </c>
      <c r="H83" s="128"/>
      <c r="I83" s="128"/>
      <c r="J83" s="128"/>
      <c r="K83" s="149"/>
      <c r="L83" s="107"/>
      <c r="M83" s="140"/>
      <c r="N83" s="107"/>
      <c r="O83" s="107"/>
      <c r="P83" s="107"/>
      <c r="Q83" s="107"/>
      <c r="R83" s="107"/>
      <c r="S83" s="107"/>
      <c r="T83" s="107"/>
      <c r="U83" s="107"/>
      <c r="V83" s="107"/>
      <c r="W83" s="107"/>
      <c r="X83" s="107"/>
      <c r="Y83" s="107"/>
      <c r="Z83" s="107"/>
      <c r="AA83" s="108"/>
      <c r="AB83" s="104"/>
      <c r="AC83" s="104"/>
      <c r="AD83" s="104"/>
    </row>
    <row r="84" spans="1:30" ht="76.5">
      <c r="A84" s="234"/>
      <c r="B84" s="83" t="s">
        <v>176</v>
      </c>
      <c r="C84" s="83" t="s">
        <v>1180</v>
      </c>
      <c r="D84" s="142"/>
      <c r="E84" s="83" t="s">
        <v>1186</v>
      </c>
      <c r="F84" s="83" t="s">
        <v>1187</v>
      </c>
      <c r="G84" s="139" t="s">
        <v>188</v>
      </c>
      <c r="H84" s="83"/>
      <c r="I84" s="128"/>
      <c r="J84" s="128"/>
      <c r="K84" s="149"/>
      <c r="L84" s="107"/>
      <c r="M84" s="140"/>
      <c r="N84" s="107"/>
      <c r="O84" s="107"/>
      <c r="P84" s="107"/>
      <c r="Q84" s="107"/>
      <c r="R84" s="107"/>
      <c r="S84" s="107"/>
      <c r="T84" s="107"/>
      <c r="U84" s="107"/>
      <c r="V84" s="107"/>
      <c r="W84" s="107"/>
      <c r="X84" s="107"/>
      <c r="Y84" s="107"/>
      <c r="Z84" s="107"/>
      <c r="AA84" s="108"/>
      <c r="AB84" s="104"/>
      <c r="AC84" s="104"/>
      <c r="AD84" s="104"/>
    </row>
    <row r="85" spans="1:30" ht="13.5">
      <c r="A85" s="262" t="s">
        <v>177</v>
      </c>
      <c r="B85" s="237"/>
      <c r="C85" s="237"/>
      <c r="D85" s="237"/>
      <c r="E85" s="237"/>
      <c r="F85" s="237"/>
      <c r="G85" s="237"/>
      <c r="H85" s="237"/>
      <c r="I85" s="237"/>
      <c r="J85" s="238"/>
      <c r="K85" s="148"/>
      <c r="L85" s="107"/>
      <c r="M85" s="107"/>
      <c r="N85" s="107"/>
      <c r="O85" s="107"/>
      <c r="P85" s="107"/>
      <c r="Q85" s="107"/>
      <c r="R85" s="107"/>
      <c r="S85" s="107"/>
      <c r="T85" s="107"/>
      <c r="U85" s="107"/>
      <c r="V85" s="107"/>
      <c r="W85" s="107"/>
      <c r="X85" s="107"/>
      <c r="Y85" s="107"/>
      <c r="Z85" s="107"/>
      <c r="AA85" s="108"/>
      <c r="AB85" s="104"/>
      <c r="AC85" s="104"/>
      <c r="AD85" s="104"/>
    </row>
    <row r="86" spans="1:30" ht="89.25">
      <c r="A86" s="141" t="s">
        <v>178</v>
      </c>
      <c r="B86" s="83" t="s">
        <v>179</v>
      </c>
      <c r="C86" s="83" t="s">
        <v>1188</v>
      </c>
      <c r="D86" s="142"/>
      <c r="E86" s="83" t="s">
        <v>1189</v>
      </c>
      <c r="F86" s="83" t="s">
        <v>180</v>
      </c>
      <c r="G86" s="139" t="s">
        <v>188</v>
      </c>
      <c r="H86" s="128"/>
      <c r="I86" s="128"/>
      <c r="J86" s="128"/>
      <c r="K86" s="149"/>
      <c r="L86" s="107"/>
      <c r="M86" s="140"/>
      <c r="N86" s="107"/>
      <c r="O86" s="107"/>
      <c r="P86" s="107"/>
      <c r="Q86" s="107"/>
      <c r="R86" s="107"/>
      <c r="S86" s="107"/>
      <c r="T86" s="107"/>
      <c r="U86" s="107"/>
      <c r="V86" s="107"/>
      <c r="W86" s="107"/>
      <c r="X86" s="107"/>
      <c r="Y86" s="107"/>
      <c r="Z86" s="107"/>
      <c r="AA86" s="108"/>
      <c r="AB86" s="104"/>
      <c r="AC86" s="104"/>
      <c r="AD86" s="104"/>
    </row>
    <row r="87" spans="1:30" ht="165.75">
      <c r="A87" s="141" t="s">
        <v>181</v>
      </c>
      <c r="B87" s="83" t="s">
        <v>182</v>
      </c>
      <c r="C87" s="83" t="s">
        <v>1188</v>
      </c>
      <c r="D87" s="142"/>
      <c r="E87" s="83" t="s">
        <v>1190</v>
      </c>
      <c r="F87" s="83" t="s">
        <v>1191</v>
      </c>
      <c r="G87" s="139" t="s">
        <v>188</v>
      </c>
      <c r="H87" s="146"/>
      <c r="I87" s="128"/>
      <c r="J87" s="128"/>
      <c r="K87" s="149"/>
      <c r="L87" s="107"/>
      <c r="M87" s="140"/>
      <c r="N87" s="107"/>
      <c r="O87" s="107"/>
      <c r="P87" s="107"/>
      <c r="Q87" s="107"/>
      <c r="R87" s="107"/>
      <c r="S87" s="107"/>
      <c r="T87" s="107"/>
      <c r="U87" s="107"/>
      <c r="V87" s="107"/>
      <c r="W87" s="107"/>
      <c r="X87" s="107"/>
      <c r="Y87" s="107"/>
      <c r="Z87" s="107"/>
      <c r="AA87" s="108"/>
      <c r="AB87" s="104"/>
      <c r="AC87" s="104"/>
      <c r="AD87" s="104"/>
    </row>
    <row r="88" spans="1:30" ht="89.25">
      <c r="A88" s="141" t="s">
        <v>183</v>
      </c>
      <c r="B88" s="83" t="s">
        <v>184</v>
      </c>
      <c r="C88" s="83" t="s">
        <v>1188</v>
      </c>
      <c r="D88" s="142"/>
      <c r="E88" s="83" t="s">
        <v>1192</v>
      </c>
      <c r="F88" s="83" t="s">
        <v>185</v>
      </c>
      <c r="G88" s="139" t="s">
        <v>188</v>
      </c>
      <c r="H88" s="128"/>
      <c r="I88" s="128"/>
      <c r="J88" s="128"/>
      <c r="K88" s="149"/>
      <c r="L88" s="107"/>
      <c r="M88" s="140"/>
      <c r="N88" s="107"/>
      <c r="O88" s="107"/>
      <c r="P88" s="107"/>
      <c r="Q88" s="107"/>
      <c r="R88" s="107"/>
      <c r="S88" s="107"/>
      <c r="T88" s="107"/>
      <c r="U88" s="107"/>
      <c r="V88" s="107"/>
      <c r="W88" s="107"/>
      <c r="X88" s="107"/>
      <c r="Y88" s="107"/>
      <c r="Z88" s="107"/>
      <c r="AA88" s="108"/>
      <c r="AB88" s="104"/>
      <c r="AC88" s="104"/>
      <c r="AD88" s="104"/>
    </row>
    <row r="89" spans="1:30" ht="229.5">
      <c r="A89" s="141" t="s">
        <v>186</v>
      </c>
      <c r="B89" s="83" t="s">
        <v>187</v>
      </c>
      <c r="C89" s="83" t="s">
        <v>1188</v>
      </c>
      <c r="D89" s="142"/>
      <c r="E89" s="83" t="s">
        <v>1193</v>
      </c>
      <c r="F89" s="83" t="s">
        <v>1194</v>
      </c>
      <c r="G89" s="139" t="s">
        <v>188</v>
      </c>
      <c r="H89" s="128"/>
      <c r="I89" s="128"/>
      <c r="J89" s="128"/>
      <c r="K89" s="149"/>
      <c r="L89" s="107"/>
      <c r="M89" s="140"/>
      <c r="N89" s="107"/>
      <c r="O89" s="107"/>
      <c r="P89" s="107"/>
      <c r="Q89" s="107"/>
      <c r="R89" s="107"/>
      <c r="S89" s="107"/>
      <c r="T89" s="107"/>
      <c r="U89" s="107"/>
      <c r="V89" s="107"/>
      <c r="W89" s="107"/>
      <c r="X89" s="107"/>
      <c r="Y89" s="107"/>
      <c r="Z89" s="107"/>
      <c r="AA89" s="108"/>
      <c r="AB89" s="104"/>
      <c r="AC89" s="104"/>
      <c r="AD89" s="104"/>
    </row>
    <row r="90" spans="1:30" ht="76.5">
      <c r="A90" s="147"/>
      <c r="B90" s="83" t="s">
        <v>189</v>
      </c>
      <c r="C90" s="83" t="s">
        <v>1188</v>
      </c>
      <c r="D90" s="142"/>
      <c r="E90" s="83" t="s">
        <v>190</v>
      </c>
      <c r="F90" s="83" t="s">
        <v>1195</v>
      </c>
      <c r="G90" s="139" t="s">
        <v>188</v>
      </c>
      <c r="H90" s="128"/>
      <c r="I90" s="128"/>
      <c r="J90" s="128"/>
      <c r="K90" s="149"/>
      <c r="L90" s="107"/>
      <c r="M90" s="140"/>
      <c r="N90" s="107"/>
      <c r="O90" s="107"/>
      <c r="P90" s="107"/>
      <c r="Q90" s="107"/>
      <c r="R90" s="107"/>
      <c r="S90" s="107"/>
      <c r="T90" s="107"/>
      <c r="U90" s="107"/>
      <c r="V90" s="107"/>
      <c r="W90" s="107"/>
      <c r="X90" s="107"/>
      <c r="Y90" s="107"/>
      <c r="Z90" s="107"/>
      <c r="AA90" s="108"/>
      <c r="AB90" s="104"/>
      <c r="AC90" s="104"/>
      <c r="AD90" s="104"/>
    </row>
    <row r="91" spans="1:30">
      <c r="A91" s="262" t="s">
        <v>191</v>
      </c>
      <c r="B91" s="237"/>
      <c r="C91" s="237"/>
      <c r="D91" s="237"/>
      <c r="E91" s="237"/>
      <c r="F91" s="237"/>
      <c r="G91" s="237"/>
      <c r="H91" s="238"/>
      <c r="I91" s="151"/>
      <c r="J91" s="151"/>
      <c r="K91" s="148"/>
      <c r="L91" s="107"/>
      <c r="M91" s="107"/>
      <c r="N91" s="107"/>
      <c r="O91" s="107"/>
      <c r="P91" s="107"/>
      <c r="Q91" s="107"/>
      <c r="R91" s="107"/>
      <c r="S91" s="107"/>
      <c r="T91" s="107"/>
      <c r="U91" s="107"/>
      <c r="V91" s="107"/>
      <c r="W91" s="107"/>
      <c r="X91" s="107"/>
      <c r="Y91" s="107"/>
      <c r="Z91" s="107"/>
      <c r="AA91" s="108"/>
      <c r="AB91" s="104"/>
      <c r="AC91" s="104"/>
      <c r="AD91" s="104"/>
    </row>
    <row r="92" spans="1:30" ht="63.75">
      <c r="A92" s="141" t="s">
        <v>192</v>
      </c>
      <c r="B92" s="83" t="s">
        <v>1196</v>
      </c>
      <c r="C92" s="83" t="s">
        <v>1197</v>
      </c>
      <c r="D92" s="142"/>
      <c r="E92" s="83" t="s">
        <v>1198</v>
      </c>
      <c r="F92" s="142"/>
      <c r="G92" s="139" t="s">
        <v>188</v>
      </c>
      <c r="H92" s="83"/>
      <c r="I92" s="128"/>
      <c r="J92" s="128"/>
      <c r="K92" s="149"/>
      <c r="L92" s="107"/>
      <c r="M92" s="105"/>
      <c r="N92" s="107"/>
      <c r="O92" s="107"/>
      <c r="P92" s="107"/>
      <c r="Q92" s="107"/>
      <c r="R92" s="107"/>
      <c r="S92" s="107"/>
      <c r="T92" s="107"/>
      <c r="U92" s="107"/>
      <c r="V92" s="107"/>
      <c r="W92" s="107"/>
      <c r="X92" s="107"/>
      <c r="Y92" s="107"/>
      <c r="Z92" s="107"/>
      <c r="AA92" s="108"/>
      <c r="AB92" s="104"/>
      <c r="AC92" s="104"/>
      <c r="AD92" s="104"/>
    </row>
    <row r="93" spans="1:30" ht="102">
      <c r="A93" s="269" t="s">
        <v>193</v>
      </c>
      <c r="B93" s="83" t="s">
        <v>194</v>
      </c>
      <c r="C93" s="83" t="s">
        <v>1197</v>
      </c>
      <c r="D93" s="142"/>
      <c r="E93" s="83" t="s">
        <v>1199</v>
      </c>
      <c r="F93" s="142"/>
      <c r="G93" s="139" t="s">
        <v>188</v>
      </c>
      <c r="H93" s="83"/>
      <c r="I93" s="128"/>
      <c r="J93" s="128"/>
      <c r="K93" s="149"/>
      <c r="L93" s="107"/>
      <c r="M93" s="105"/>
      <c r="N93" s="107"/>
      <c r="O93" s="107"/>
      <c r="P93" s="107"/>
      <c r="Q93" s="107"/>
      <c r="R93" s="107"/>
      <c r="S93" s="107"/>
      <c r="T93" s="107"/>
      <c r="U93" s="107"/>
      <c r="V93" s="107"/>
      <c r="W93" s="107"/>
      <c r="X93" s="107"/>
      <c r="Y93" s="107"/>
      <c r="Z93" s="107"/>
      <c r="AA93" s="108"/>
      <c r="AB93" s="104"/>
      <c r="AC93" s="104"/>
      <c r="AD93" s="104"/>
    </row>
    <row r="94" spans="1:30" ht="102">
      <c r="A94" s="234"/>
      <c r="B94" s="83" t="s">
        <v>1200</v>
      </c>
      <c r="C94" s="83" t="s">
        <v>1197</v>
      </c>
      <c r="D94" s="142"/>
      <c r="E94" s="83" t="s">
        <v>1199</v>
      </c>
      <c r="F94" s="142"/>
      <c r="G94" s="139" t="s">
        <v>188</v>
      </c>
      <c r="H94" s="83"/>
      <c r="I94" s="128"/>
      <c r="J94" s="128"/>
      <c r="K94" s="149"/>
      <c r="L94" s="107"/>
      <c r="M94" s="105"/>
      <c r="N94" s="107"/>
      <c r="O94" s="107"/>
      <c r="P94" s="107"/>
      <c r="Q94" s="107"/>
      <c r="R94" s="107"/>
      <c r="S94" s="107"/>
      <c r="T94" s="107"/>
      <c r="U94" s="107"/>
      <c r="V94" s="107"/>
      <c r="W94" s="107"/>
      <c r="X94" s="107"/>
      <c r="Y94" s="107"/>
      <c r="Z94" s="107"/>
      <c r="AA94" s="108"/>
      <c r="AB94" s="104"/>
      <c r="AC94" s="104"/>
      <c r="AD94" s="104"/>
    </row>
    <row r="95" spans="1:30" ht="102">
      <c r="A95" s="269" t="s">
        <v>1201</v>
      </c>
      <c r="B95" s="83" t="s">
        <v>1202</v>
      </c>
      <c r="C95" s="83" t="s">
        <v>1197</v>
      </c>
      <c r="D95" s="142"/>
      <c r="E95" s="83" t="s">
        <v>1199</v>
      </c>
      <c r="F95" s="142"/>
      <c r="G95" s="139" t="s">
        <v>188</v>
      </c>
      <c r="H95" s="83"/>
      <c r="I95" s="128"/>
      <c r="J95" s="128"/>
      <c r="K95" s="149"/>
      <c r="L95" s="107"/>
      <c r="M95" s="105"/>
      <c r="N95" s="107"/>
      <c r="O95" s="107"/>
      <c r="P95" s="107"/>
      <c r="Q95" s="107"/>
      <c r="R95" s="107"/>
      <c r="S95" s="107"/>
      <c r="T95" s="107"/>
      <c r="U95" s="107"/>
      <c r="V95" s="107"/>
      <c r="W95" s="107"/>
      <c r="X95" s="107"/>
      <c r="Y95" s="107"/>
      <c r="Z95" s="107"/>
      <c r="AA95" s="108"/>
      <c r="AB95" s="104"/>
      <c r="AC95" s="104"/>
      <c r="AD95" s="104"/>
    </row>
    <row r="96" spans="1:30" ht="229.5">
      <c r="A96" s="234"/>
      <c r="B96" s="83" t="s">
        <v>1203</v>
      </c>
      <c r="C96" s="83" t="s">
        <v>1188</v>
      </c>
      <c r="D96" s="142"/>
      <c r="E96" s="83" t="s">
        <v>1763</v>
      </c>
      <c r="F96" s="83" t="s">
        <v>1194</v>
      </c>
      <c r="G96" s="139" t="s">
        <v>188</v>
      </c>
      <c r="H96" s="83"/>
      <c r="I96" s="128"/>
      <c r="J96" s="128"/>
      <c r="K96" s="149"/>
      <c r="L96" s="107"/>
      <c r="M96" s="140"/>
      <c r="N96" s="107"/>
      <c r="O96" s="107"/>
      <c r="P96" s="107"/>
      <c r="Q96" s="107"/>
      <c r="R96" s="107"/>
      <c r="S96" s="107"/>
      <c r="T96" s="107"/>
      <c r="U96" s="107"/>
      <c r="V96" s="107"/>
      <c r="W96" s="107"/>
      <c r="X96" s="107"/>
      <c r="Y96" s="107"/>
      <c r="Z96" s="107"/>
      <c r="AA96" s="108"/>
      <c r="AB96" s="104"/>
      <c r="AC96" s="104"/>
      <c r="AD96" s="104"/>
    </row>
    <row r="97" spans="1:30" ht="25.5">
      <c r="A97" s="141" t="s">
        <v>1204</v>
      </c>
      <c r="B97" s="83" t="s">
        <v>1205</v>
      </c>
      <c r="C97" s="128"/>
      <c r="D97" s="142"/>
      <c r="E97" s="128"/>
      <c r="F97" s="83" t="s">
        <v>1206</v>
      </c>
      <c r="G97" s="139" t="s">
        <v>188</v>
      </c>
      <c r="H97" s="83"/>
      <c r="I97" s="128"/>
      <c r="J97" s="128"/>
      <c r="K97" s="149"/>
      <c r="L97" s="107"/>
      <c r="M97" s="140"/>
      <c r="N97" s="107"/>
      <c r="O97" s="107"/>
      <c r="P97" s="107"/>
      <c r="Q97" s="107"/>
      <c r="R97" s="107"/>
      <c r="S97" s="107"/>
      <c r="T97" s="107"/>
      <c r="U97" s="107"/>
      <c r="V97" s="107"/>
      <c r="W97" s="107"/>
      <c r="X97" s="107"/>
      <c r="Y97" s="107"/>
      <c r="Z97" s="107"/>
      <c r="AA97" s="108"/>
      <c r="AB97" s="104"/>
      <c r="AC97" s="104"/>
      <c r="AD97" s="104"/>
    </row>
    <row r="98" spans="1:30" ht="13.5">
      <c r="A98" s="262" t="s">
        <v>195</v>
      </c>
      <c r="B98" s="237"/>
      <c r="C98" s="237"/>
      <c r="D98" s="237"/>
      <c r="E98" s="237"/>
      <c r="F98" s="237"/>
      <c r="G98" s="237"/>
      <c r="H98" s="237"/>
      <c r="I98" s="237"/>
      <c r="J98" s="238"/>
      <c r="K98" s="148"/>
      <c r="L98" s="107"/>
      <c r="M98" s="107"/>
      <c r="N98" s="107"/>
      <c r="O98" s="107"/>
      <c r="P98" s="107"/>
      <c r="Q98" s="107"/>
      <c r="R98" s="107"/>
      <c r="S98" s="107"/>
      <c r="T98" s="107"/>
      <c r="U98" s="107"/>
      <c r="V98" s="107"/>
      <c r="W98" s="107"/>
      <c r="X98" s="107"/>
      <c r="Y98" s="107"/>
      <c r="Z98" s="107"/>
      <c r="AA98" s="108"/>
      <c r="AB98" s="104"/>
      <c r="AC98" s="104"/>
      <c r="AD98" s="104"/>
    </row>
    <row r="99" spans="1:30" ht="51">
      <c r="A99" s="141" t="s">
        <v>1764</v>
      </c>
      <c r="B99" s="83" t="s">
        <v>1765</v>
      </c>
      <c r="C99" s="83" t="s">
        <v>1207</v>
      </c>
      <c r="D99" s="142"/>
      <c r="E99" s="83" t="s">
        <v>1208</v>
      </c>
      <c r="F99" s="83" t="s">
        <v>1209</v>
      </c>
      <c r="G99" s="139" t="s">
        <v>188</v>
      </c>
      <c r="H99" s="146"/>
      <c r="I99" s="128"/>
      <c r="J99" s="128"/>
      <c r="K99" s="149"/>
      <c r="L99" s="107"/>
      <c r="M99" s="140"/>
      <c r="N99" s="107"/>
      <c r="O99" s="107"/>
      <c r="P99" s="107"/>
      <c r="Q99" s="107"/>
      <c r="R99" s="107"/>
      <c r="S99" s="107"/>
      <c r="T99" s="107"/>
      <c r="U99" s="107"/>
      <c r="V99" s="107"/>
      <c r="W99" s="107"/>
      <c r="X99" s="107"/>
      <c r="Y99" s="107"/>
      <c r="Z99" s="107"/>
      <c r="AA99" s="108"/>
      <c r="AB99" s="104"/>
      <c r="AC99" s="104"/>
      <c r="AD99" s="104"/>
    </row>
    <row r="100" spans="1:30" ht="51">
      <c r="A100" s="269" t="s">
        <v>196</v>
      </c>
      <c r="B100" s="83" t="s">
        <v>1766</v>
      </c>
      <c r="C100" s="83" t="s">
        <v>1207</v>
      </c>
      <c r="D100" s="142"/>
      <c r="E100" s="83" t="s">
        <v>1210</v>
      </c>
      <c r="F100" s="83" t="s">
        <v>197</v>
      </c>
      <c r="G100" s="139" t="s">
        <v>188</v>
      </c>
      <c r="H100" s="146"/>
      <c r="I100" s="128"/>
      <c r="J100" s="128"/>
      <c r="K100" s="149"/>
      <c r="L100" s="107"/>
      <c r="M100" s="140"/>
      <c r="N100" s="107"/>
      <c r="O100" s="107"/>
      <c r="P100" s="107"/>
      <c r="Q100" s="107"/>
      <c r="R100" s="107"/>
      <c r="S100" s="107"/>
      <c r="T100" s="107"/>
      <c r="U100" s="107"/>
      <c r="V100" s="107"/>
      <c r="W100" s="107"/>
      <c r="X100" s="107"/>
      <c r="Y100" s="107"/>
      <c r="Z100" s="107"/>
      <c r="AA100" s="108"/>
      <c r="AB100" s="104"/>
      <c r="AC100" s="104"/>
      <c r="AD100" s="104"/>
    </row>
    <row r="101" spans="1:30" ht="51">
      <c r="A101" s="235"/>
      <c r="B101" s="83" t="s">
        <v>1767</v>
      </c>
      <c r="C101" s="83" t="s">
        <v>1207</v>
      </c>
      <c r="D101" s="142"/>
      <c r="E101" s="83" t="s">
        <v>1211</v>
      </c>
      <c r="F101" s="83" t="s">
        <v>1768</v>
      </c>
      <c r="G101" s="139" t="s">
        <v>188</v>
      </c>
      <c r="H101" s="146"/>
      <c r="I101" s="128"/>
      <c r="J101" s="128"/>
      <c r="K101" s="149"/>
      <c r="L101" s="107"/>
      <c r="M101" s="140"/>
      <c r="N101" s="107"/>
      <c r="O101" s="107"/>
      <c r="P101" s="107"/>
      <c r="Q101" s="107"/>
      <c r="R101" s="107"/>
      <c r="S101" s="107"/>
      <c r="T101" s="107"/>
      <c r="U101" s="107"/>
      <c r="V101" s="107"/>
      <c r="W101" s="107"/>
      <c r="X101" s="107"/>
      <c r="Y101" s="107"/>
      <c r="Z101" s="107"/>
      <c r="AA101" s="108"/>
      <c r="AB101" s="104"/>
      <c r="AC101" s="104"/>
      <c r="AD101" s="104"/>
    </row>
    <row r="102" spans="1:30" ht="76.5">
      <c r="A102" s="234"/>
      <c r="B102" s="83" t="s">
        <v>1769</v>
      </c>
      <c r="C102" s="83" t="s">
        <v>1207</v>
      </c>
      <c r="D102" s="142"/>
      <c r="E102" s="83" t="s">
        <v>1770</v>
      </c>
      <c r="F102" s="83" t="s">
        <v>1771</v>
      </c>
      <c r="G102" s="139" t="s">
        <v>188</v>
      </c>
      <c r="H102" s="142"/>
      <c r="I102" s="128"/>
      <c r="J102" s="128"/>
      <c r="K102" s="149"/>
      <c r="L102" s="107"/>
      <c r="M102" s="140"/>
      <c r="N102" s="107"/>
      <c r="O102" s="107"/>
      <c r="P102" s="107"/>
      <c r="Q102" s="107"/>
      <c r="R102" s="107"/>
      <c r="S102" s="107"/>
      <c r="T102" s="107"/>
      <c r="U102" s="107"/>
      <c r="V102" s="107"/>
      <c r="W102" s="107"/>
      <c r="X102" s="107"/>
      <c r="Y102" s="107"/>
      <c r="Z102" s="107"/>
      <c r="AA102" s="108"/>
      <c r="AB102" s="104"/>
      <c r="AC102" s="104"/>
      <c r="AD102" s="104"/>
    </row>
    <row r="103" spans="1:30" ht="63.75">
      <c r="A103" s="141" t="s">
        <v>1212</v>
      </c>
      <c r="B103" s="83" t="s">
        <v>198</v>
      </c>
      <c r="C103" s="83" t="s">
        <v>1207</v>
      </c>
      <c r="D103" s="142"/>
      <c r="E103" s="83" t="s">
        <v>1213</v>
      </c>
      <c r="F103" s="83" t="s">
        <v>1772</v>
      </c>
      <c r="G103" s="139" t="s">
        <v>188</v>
      </c>
      <c r="H103" s="142"/>
      <c r="I103" s="128"/>
      <c r="J103" s="128"/>
      <c r="K103" s="149"/>
      <c r="L103" s="107"/>
      <c r="M103" s="140"/>
      <c r="N103" s="107"/>
      <c r="O103" s="107"/>
      <c r="P103" s="107"/>
      <c r="Q103" s="107"/>
      <c r="R103" s="107"/>
      <c r="S103" s="107"/>
      <c r="T103" s="107"/>
      <c r="U103" s="107"/>
      <c r="V103" s="107"/>
      <c r="W103" s="107"/>
      <c r="X103" s="107"/>
      <c r="Y103" s="107"/>
      <c r="Z103" s="107"/>
      <c r="AA103" s="108"/>
      <c r="AB103" s="104"/>
      <c r="AC103" s="104"/>
      <c r="AD103" s="104"/>
    </row>
    <row r="104" spans="1:30" ht="51">
      <c r="A104" s="141" t="s">
        <v>199</v>
      </c>
      <c r="B104" s="83" t="s">
        <v>1214</v>
      </c>
      <c r="C104" s="83" t="s">
        <v>1207</v>
      </c>
      <c r="D104" s="142"/>
      <c r="E104" s="83" t="s">
        <v>1215</v>
      </c>
      <c r="F104" s="83" t="s">
        <v>1773</v>
      </c>
      <c r="G104" s="139" t="s">
        <v>188</v>
      </c>
      <c r="H104" s="152"/>
      <c r="I104" s="128"/>
      <c r="J104" s="128"/>
      <c r="K104" s="149"/>
      <c r="L104" s="107"/>
      <c r="M104" s="140"/>
      <c r="N104" s="107"/>
      <c r="O104" s="107"/>
      <c r="P104" s="107"/>
      <c r="Q104" s="107"/>
      <c r="R104" s="107"/>
      <c r="S104" s="107"/>
      <c r="T104" s="107"/>
      <c r="U104" s="107"/>
      <c r="V104" s="107"/>
      <c r="W104" s="107"/>
      <c r="X104" s="107"/>
      <c r="Y104" s="107"/>
      <c r="Z104" s="107"/>
      <c r="AA104" s="108"/>
      <c r="AB104" s="104"/>
      <c r="AC104" s="104"/>
      <c r="AD104" s="104"/>
    </row>
    <row r="105" spans="1:30" ht="63.75">
      <c r="A105" s="141" t="s">
        <v>200</v>
      </c>
      <c r="B105" s="83" t="s">
        <v>1216</v>
      </c>
      <c r="C105" s="83" t="s">
        <v>1207</v>
      </c>
      <c r="D105" s="142"/>
      <c r="E105" s="83" t="s">
        <v>1217</v>
      </c>
      <c r="F105" s="83" t="s">
        <v>1774</v>
      </c>
      <c r="G105" s="139" t="s">
        <v>188</v>
      </c>
      <c r="H105" s="152"/>
      <c r="I105" s="128"/>
      <c r="J105" s="128"/>
      <c r="K105" s="149"/>
      <c r="L105" s="107"/>
      <c r="M105" s="140"/>
      <c r="N105" s="107"/>
      <c r="O105" s="107"/>
      <c r="P105" s="107"/>
      <c r="Q105" s="107"/>
      <c r="R105" s="107"/>
      <c r="S105" s="107"/>
      <c r="T105" s="107"/>
      <c r="U105" s="107"/>
      <c r="V105" s="107"/>
      <c r="W105" s="107"/>
      <c r="X105" s="107"/>
      <c r="Y105" s="107"/>
      <c r="Z105" s="107"/>
      <c r="AA105" s="108"/>
      <c r="AB105" s="104"/>
      <c r="AC105" s="104"/>
      <c r="AD105" s="104"/>
    </row>
    <row r="106" spans="1:30" ht="13.5">
      <c r="A106" s="262" t="s">
        <v>201</v>
      </c>
      <c r="B106" s="237"/>
      <c r="C106" s="237"/>
      <c r="D106" s="237"/>
      <c r="E106" s="237"/>
      <c r="F106" s="237"/>
      <c r="G106" s="237"/>
      <c r="H106" s="237"/>
      <c r="I106" s="237"/>
      <c r="J106" s="238"/>
      <c r="K106" s="148"/>
      <c r="L106" s="107"/>
      <c r="M106" s="107"/>
      <c r="N106" s="107"/>
      <c r="O106" s="107"/>
      <c r="P106" s="107"/>
      <c r="Q106" s="107"/>
      <c r="R106" s="107"/>
      <c r="S106" s="107"/>
      <c r="T106" s="107"/>
      <c r="U106" s="107"/>
      <c r="V106" s="107"/>
      <c r="W106" s="107"/>
      <c r="X106" s="107"/>
      <c r="Y106" s="107"/>
      <c r="Z106" s="107"/>
      <c r="AA106" s="108"/>
      <c r="AB106" s="104"/>
      <c r="AC106" s="104"/>
      <c r="AD106" s="104"/>
    </row>
    <row r="107" spans="1:30" ht="63.75">
      <c r="A107" s="141" t="s">
        <v>202</v>
      </c>
      <c r="B107" s="83" t="s">
        <v>203</v>
      </c>
      <c r="C107" s="83" t="s">
        <v>1775</v>
      </c>
      <c r="D107" s="142"/>
      <c r="E107" s="128"/>
      <c r="F107" s="83" t="s">
        <v>1776</v>
      </c>
      <c r="G107" s="139" t="s">
        <v>188</v>
      </c>
      <c r="H107" s="128"/>
      <c r="I107" s="128"/>
      <c r="J107" s="128"/>
      <c r="K107" s="149"/>
      <c r="L107" s="107"/>
      <c r="M107" s="140"/>
      <c r="N107" s="107"/>
      <c r="O107" s="107"/>
      <c r="P107" s="107"/>
      <c r="Q107" s="107"/>
      <c r="R107" s="107"/>
      <c r="S107" s="107"/>
      <c r="T107" s="107"/>
      <c r="U107" s="107"/>
      <c r="V107" s="107"/>
      <c r="W107" s="107"/>
      <c r="X107" s="107"/>
      <c r="Y107" s="107"/>
      <c r="Z107" s="107"/>
      <c r="AA107" s="108"/>
      <c r="AB107" s="104"/>
      <c r="AC107" s="104"/>
      <c r="AD107" s="104"/>
    </row>
    <row r="108" spans="1:30" ht="63.75">
      <c r="A108" s="269" t="s">
        <v>1219</v>
      </c>
      <c r="B108" s="83" t="s">
        <v>1220</v>
      </c>
      <c r="C108" s="83" t="s">
        <v>1775</v>
      </c>
      <c r="D108" s="142"/>
      <c r="E108" s="128"/>
      <c r="F108" s="83" t="s">
        <v>204</v>
      </c>
      <c r="G108" s="139" t="s">
        <v>188</v>
      </c>
      <c r="H108" s="128"/>
      <c r="I108" s="128"/>
      <c r="J108" s="128"/>
      <c r="K108" s="149"/>
      <c r="L108" s="107"/>
      <c r="M108" s="140"/>
      <c r="N108" s="107"/>
      <c r="O108" s="107"/>
      <c r="P108" s="107"/>
      <c r="Q108" s="107"/>
      <c r="R108" s="107"/>
      <c r="S108" s="107"/>
      <c r="T108" s="107"/>
      <c r="U108" s="107"/>
      <c r="V108" s="107"/>
      <c r="W108" s="107"/>
      <c r="X108" s="107"/>
      <c r="Y108" s="107"/>
      <c r="Z108" s="107"/>
      <c r="AA108" s="108"/>
      <c r="AB108" s="104"/>
      <c r="AC108" s="104"/>
      <c r="AD108" s="104"/>
    </row>
    <row r="109" spans="1:30" ht="38.25">
      <c r="A109" s="235"/>
      <c r="B109" s="83" t="s">
        <v>205</v>
      </c>
      <c r="C109" s="128"/>
      <c r="D109" s="142"/>
      <c r="E109" s="128"/>
      <c r="F109" s="128"/>
      <c r="G109" s="139" t="s">
        <v>188</v>
      </c>
      <c r="H109" s="128"/>
      <c r="I109" s="128"/>
      <c r="J109" s="128"/>
      <c r="K109" s="149"/>
      <c r="L109" s="107"/>
      <c r="M109" s="105"/>
      <c r="N109" s="107"/>
      <c r="O109" s="107"/>
      <c r="P109" s="107"/>
      <c r="Q109" s="107"/>
      <c r="R109" s="107"/>
      <c r="S109" s="107"/>
      <c r="T109" s="107"/>
      <c r="U109" s="107"/>
      <c r="V109" s="107"/>
      <c r="W109" s="107"/>
      <c r="X109" s="107"/>
      <c r="Y109" s="107"/>
      <c r="Z109" s="107"/>
      <c r="AA109" s="108"/>
      <c r="AB109" s="104"/>
      <c r="AC109" s="104"/>
      <c r="AD109" s="104"/>
    </row>
    <row r="110" spans="1:30" ht="165.75">
      <c r="A110" s="234"/>
      <c r="B110" s="83" t="s">
        <v>1777</v>
      </c>
      <c r="C110" s="128"/>
      <c r="D110" s="142"/>
      <c r="E110" s="128"/>
      <c r="F110" s="128"/>
      <c r="G110" s="139" t="s">
        <v>188</v>
      </c>
      <c r="H110" s="128"/>
      <c r="I110" s="128"/>
      <c r="J110" s="128"/>
      <c r="K110" s="149"/>
      <c r="L110" s="107"/>
      <c r="M110" s="105"/>
      <c r="N110" s="107"/>
      <c r="O110" s="107"/>
      <c r="P110" s="107"/>
      <c r="Q110" s="107"/>
      <c r="R110" s="107"/>
      <c r="S110" s="107"/>
      <c r="T110" s="107"/>
      <c r="U110" s="107"/>
      <c r="V110" s="107"/>
      <c r="W110" s="107"/>
      <c r="X110" s="107"/>
      <c r="Y110" s="107"/>
      <c r="Z110" s="107"/>
      <c r="AA110" s="108"/>
      <c r="AB110" s="104"/>
      <c r="AC110" s="104"/>
      <c r="AD110" s="104"/>
    </row>
    <row r="111" spans="1:30" ht="191.25">
      <c r="A111" s="141" t="s">
        <v>1221</v>
      </c>
      <c r="B111" s="83" t="s">
        <v>206</v>
      </c>
      <c r="C111" s="83" t="s">
        <v>1778</v>
      </c>
      <c r="D111" s="142"/>
      <c r="E111" s="83" t="s">
        <v>1779</v>
      </c>
      <c r="F111" s="83" t="s">
        <v>1780</v>
      </c>
      <c r="G111" s="139" t="s">
        <v>188</v>
      </c>
      <c r="H111" s="128"/>
      <c r="I111" s="128"/>
      <c r="J111" s="128"/>
      <c r="K111" s="149"/>
      <c r="L111" s="107"/>
      <c r="M111" s="140"/>
      <c r="N111" s="107"/>
      <c r="O111" s="107"/>
      <c r="P111" s="107"/>
      <c r="Q111" s="107"/>
      <c r="R111" s="107"/>
      <c r="S111" s="107"/>
      <c r="T111" s="107"/>
      <c r="U111" s="107"/>
      <c r="V111" s="107"/>
      <c r="W111" s="107"/>
      <c r="X111" s="107"/>
      <c r="Y111" s="107"/>
      <c r="Z111" s="107"/>
      <c r="AA111" s="108"/>
      <c r="AB111" s="104"/>
      <c r="AC111" s="104"/>
      <c r="AD111" s="104"/>
    </row>
    <row r="112" spans="1:30" ht="165.75">
      <c r="A112" s="147"/>
      <c r="B112" s="83" t="s">
        <v>1781</v>
      </c>
      <c r="C112" s="128"/>
      <c r="D112" s="142"/>
      <c r="E112" s="128"/>
      <c r="F112" s="128"/>
      <c r="G112" s="139" t="s">
        <v>188</v>
      </c>
      <c r="H112" s="128"/>
      <c r="I112" s="128"/>
      <c r="J112" s="128"/>
      <c r="K112" s="149"/>
      <c r="L112" s="107"/>
      <c r="M112" s="105"/>
      <c r="N112" s="107"/>
      <c r="O112" s="107"/>
      <c r="P112" s="107"/>
      <c r="Q112" s="107"/>
      <c r="R112" s="107"/>
      <c r="S112" s="107"/>
      <c r="T112" s="107"/>
      <c r="U112" s="107"/>
      <c r="V112" s="107"/>
      <c r="W112" s="107"/>
      <c r="X112" s="107"/>
      <c r="Y112" s="107"/>
      <c r="Z112" s="107"/>
      <c r="AA112" s="108"/>
      <c r="AB112" s="104"/>
      <c r="AC112" s="104"/>
      <c r="AD112" s="104"/>
    </row>
    <row r="113" spans="1:30" ht="89.25">
      <c r="A113" s="147"/>
      <c r="B113" s="83" t="s">
        <v>207</v>
      </c>
      <c r="C113" s="83" t="s">
        <v>1778</v>
      </c>
      <c r="D113" s="142"/>
      <c r="E113" s="83" t="s">
        <v>1222</v>
      </c>
      <c r="F113" s="83" t="s">
        <v>1782</v>
      </c>
      <c r="G113" s="139" t="s">
        <v>188</v>
      </c>
      <c r="H113" s="128"/>
      <c r="I113" s="128"/>
      <c r="J113" s="128"/>
      <c r="K113" s="149"/>
      <c r="L113" s="107"/>
      <c r="M113" s="140"/>
      <c r="N113" s="107"/>
      <c r="O113" s="107"/>
      <c r="P113" s="107"/>
      <c r="Q113" s="107"/>
      <c r="R113" s="107"/>
      <c r="S113" s="107"/>
      <c r="T113" s="107"/>
      <c r="U113" s="107"/>
      <c r="V113" s="107"/>
      <c r="W113" s="107"/>
      <c r="X113" s="107"/>
      <c r="Y113" s="107"/>
      <c r="Z113" s="107"/>
      <c r="AA113" s="108"/>
      <c r="AB113" s="104"/>
      <c r="AC113" s="104"/>
      <c r="AD113" s="104"/>
    </row>
    <row r="114" spans="1:30" ht="89.25">
      <c r="A114" s="147"/>
      <c r="B114" s="83" t="s">
        <v>208</v>
      </c>
      <c r="C114" s="83" t="s">
        <v>1778</v>
      </c>
      <c r="D114" s="142"/>
      <c r="E114" s="83" t="s">
        <v>1223</v>
      </c>
      <c r="F114" s="83" t="s">
        <v>209</v>
      </c>
      <c r="G114" s="139" t="s">
        <v>188</v>
      </c>
      <c r="H114" s="128"/>
      <c r="I114" s="128"/>
      <c r="J114" s="128"/>
      <c r="K114" s="149"/>
      <c r="L114" s="107"/>
      <c r="M114" s="140"/>
      <c r="N114" s="107"/>
      <c r="O114" s="107"/>
      <c r="P114" s="107"/>
      <c r="Q114" s="107"/>
      <c r="R114" s="107"/>
      <c r="S114" s="107"/>
      <c r="T114" s="107"/>
      <c r="U114" s="107"/>
      <c r="V114" s="107"/>
      <c r="W114" s="107"/>
      <c r="X114" s="107"/>
      <c r="Y114" s="107"/>
      <c r="Z114" s="107"/>
      <c r="AA114" s="108"/>
      <c r="AB114" s="104"/>
      <c r="AC114" s="104"/>
      <c r="AD114" s="104"/>
    </row>
    <row r="115" spans="1:30" ht="89.25">
      <c r="A115" s="147"/>
      <c r="B115" s="83" t="s">
        <v>210</v>
      </c>
      <c r="C115" s="83" t="s">
        <v>1778</v>
      </c>
      <c r="D115" s="142"/>
      <c r="E115" s="83" t="s">
        <v>1783</v>
      </c>
      <c r="F115" s="83" t="s">
        <v>211</v>
      </c>
      <c r="G115" s="139" t="s">
        <v>188</v>
      </c>
      <c r="H115" s="128"/>
      <c r="I115" s="128"/>
      <c r="J115" s="128"/>
      <c r="K115" s="149"/>
      <c r="L115" s="107"/>
      <c r="M115" s="140"/>
      <c r="N115" s="107"/>
      <c r="O115" s="107"/>
      <c r="P115" s="107"/>
      <c r="Q115" s="107"/>
      <c r="R115" s="107"/>
      <c r="S115" s="107"/>
      <c r="T115" s="107"/>
      <c r="U115" s="107"/>
      <c r="V115" s="107"/>
      <c r="W115" s="107"/>
      <c r="X115" s="107"/>
      <c r="Y115" s="107"/>
      <c r="Z115" s="107"/>
      <c r="AA115" s="108"/>
      <c r="AB115" s="104"/>
      <c r="AC115" s="104"/>
      <c r="AD115" s="104"/>
    </row>
    <row r="116" spans="1:30" ht="89.25">
      <c r="A116" s="147"/>
      <c r="B116" s="83" t="s">
        <v>212</v>
      </c>
      <c r="C116" s="83" t="s">
        <v>1778</v>
      </c>
      <c r="D116" s="142"/>
      <c r="E116" s="83" t="s">
        <v>1224</v>
      </c>
      <c r="F116" s="83" t="s">
        <v>1784</v>
      </c>
      <c r="G116" s="139" t="s">
        <v>188</v>
      </c>
      <c r="H116" s="128"/>
      <c r="I116" s="128"/>
      <c r="J116" s="128"/>
      <c r="K116" s="149"/>
      <c r="L116" s="107"/>
      <c r="M116" s="140"/>
      <c r="N116" s="107"/>
      <c r="O116" s="107"/>
      <c r="P116" s="107"/>
      <c r="Q116" s="107"/>
      <c r="R116" s="107"/>
      <c r="S116" s="107"/>
      <c r="T116" s="107"/>
      <c r="U116" s="107"/>
      <c r="V116" s="107"/>
      <c r="W116" s="107"/>
      <c r="X116" s="107"/>
      <c r="Y116" s="107"/>
      <c r="Z116" s="107"/>
      <c r="AA116" s="108"/>
      <c r="AB116" s="104"/>
      <c r="AC116" s="104"/>
      <c r="AD116" s="104"/>
    </row>
    <row r="117" spans="1:30" ht="51">
      <c r="A117" s="141" t="s">
        <v>213</v>
      </c>
      <c r="B117" s="83" t="s">
        <v>214</v>
      </c>
      <c r="C117" s="128"/>
      <c r="D117" s="142"/>
      <c r="E117" s="128"/>
      <c r="F117" s="128"/>
      <c r="G117" s="139" t="s">
        <v>188</v>
      </c>
      <c r="H117" s="128"/>
      <c r="I117" s="128"/>
      <c r="J117" s="128"/>
      <c r="K117" s="149"/>
      <c r="L117" s="107"/>
      <c r="M117" s="105"/>
      <c r="N117" s="107"/>
      <c r="O117" s="107"/>
      <c r="P117" s="107"/>
      <c r="Q117" s="107"/>
      <c r="R117" s="107"/>
      <c r="S117" s="107"/>
      <c r="T117" s="107"/>
      <c r="U117" s="107"/>
      <c r="V117" s="107"/>
      <c r="W117" s="107"/>
      <c r="X117" s="107"/>
      <c r="Y117" s="107"/>
      <c r="Z117" s="107"/>
      <c r="AA117" s="108"/>
      <c r="AB117" s="104"/>
      <c r="AC117" s="104"/>
      <c r="AD117" s="104"/>
    </row>
    <row r="118" spans="1:30" ht="38.25">
      <c r="A118" s="141" t="s">
        <v>215</v>
      </c>
      <c r="B118" s="83" t="s">
        <v>216</v>
      </c>
      <c r="C118" s="128"/>
      <c r="D118" s="142"/>
      <c r="E118" s="128"/>
      <c r="F118" s="128"/>
      <c r="G118" s="139" t="s">
        <v>188</v>
      </c>
      <c r="H118" s="128"/>
      <c r="I118" s="128"/>
      <c r="J118" s="128"/>
      <c r="K118" s="149"/>
      <c r="L118" s="107"/>
      <c r="M118" s="105"/>
      <c r="N118" s="107"/>
      <c r="O118" s="107"/>
      <c r="P118" s="107"/>
      <c r="Q118" s="107"/>
      <c r="R118" s="107"/>
      <c r="S118" s="107"/>
      <c r="T118" s="107"/>
      <c r="U118" s="107"/>
      <c r="V118" s="107"/>
      <c r="W118" s="107"/>
      <c r="X118" s="107"/>
      <c r="Y118" s="107"/>
      <c r="Z118" s="107"/>
      <c r="AA118" s="108"/>
      <c r="AB118" s="104"/>
      <c r="AC118" s="104"/>
      <c r="AD118" s="104"/>
    </row>
    <row r="119" spans="1:30" ht="51">
      <c r="A119" s="141" t="s">
        <v>217</v>
      </c>
      <c r="B119" s="83" t="s">
        <v>218</v>
      </c>
      <c r="C119" s="128"/>
      <c r="D119" s="142"/>
      <c r="E119" s="128"/>
      <c r="F119" s="128"/>
      <c r="G119" s="139" t="s">
        <v>188</v>
      </c>
      <c r="H119" s="128"/>
      <c r="I119" s="128"/>
      <c r="J119" s="128"/>
      <c r="K119" s="149"/>
      <c r="L119" s="107"/>
      <c r="M119" s="105"/>
      <c r="N119" s="107"/>
      <c r="O119" s="107"/>
      <c r="P119" s="107"/>
      <c r="Q119" s="107"/>
      <c r="R119" s="107"/>
      <c r="S119" s="107"/>
      <c r="T119" s="107"/>
      <c r="U119" s="107"/>
      <c r="V119" s="107"/>
      <c r="W119" s="107"/>
      <c r="X119" s="107"/>
      <c r="Y119" s="107"/>
      <c r="Z119" s="107"/>
      <c r="AA119" s="108"/>
      <c r="AB119" s="104"/>
      <c r="AC119" s="104"/>
      <c r="AD119" s="104"/>
    </row>
    <row r="120" spans="1:30" ht="38.25">
      <c r="A120" s="141" t="s">
        <v>219</v>
      </c>
      <c r="B120" s="83" t="s">
        <v>220</v>
      </c>
      <c r="C120" s="128"/>
      <c r="D120" s="142"/>
      <c r="E120" s="128"/>
      <c r="F120" s="128"/>
      <c r="G120" s="139" t="s">
        <v>188</v>
      </c>
      <c r="H120" s="128"/>
      <c r="I120" s="128"/>
      <c r="J120" s="128"/>
      <c r="K120" s="149"/>
      <c r="L120" s="107"/>
      <c r="M120" s="105"/>
      <c r="N120" s="107"/>
      <c r="O120" s="107"/>
      <c r="P120" s="107"/>
      <c r="Q120" s="107"/>
      <c r="R120" s="107"/>
      <c r="S120" s="107"/>
      <c r="T120" s="107"/>
      <c r="U120" s="107"/>
      <c r="V120" s="107"/>
      <c r="W120" s="107"/>
      <c r="X120" s="107"/>
      <c r="Y120" s="107"/>
      <c r="Z120" s="107"/>
      <c r="AA120" s="108"/>
      <c r="AB120" s="104"/>
      <c r="AC120" s="104"/>
      <c r="AD120" s="104"/>
    </row>
    <row r="121" spans="1:30" ht="76.5">
      <c r="A121" s="141" t="s">
        <v>239</v>
      </c>
      <c r="B121" s="83" t="s">
        <v>240</v>
      </c>
      <c r="C121" s="83" t="s">
        <v>1243</v>
      </c>
      <c r="D121" s="142"/>
      <c r="E121" s="83" t="s">
        <v>1244</v>
      </c>
      <c r="F121" s="83" t="s">
        <v>1785</v>
      </c>
      <c r="G121" s="139" t="s">
        <v>188</v>
      </c>
      <c r="H121" s="128"/>
      <c r="I121" s="128"/>
      <c r="J121" s="128"/>
      <c r="K121" s="149"/>
      <c r="L121" s="107"/>
      <c r="M121" s="140"/>
      <c r="N121" s="107"/>
      <c r="O121" s="107"/>
      <c r="P121" s="107"/>
      <c r="Q121" s="107"/>
      <c r="R121" s="107"/>
      <c r="S121" s="107"/>
      <c r="T121" s="107"/>
      <c r="U121" s="107"/>
      <c r="V121" s="107"/>
      <c r="W121" s="107"/>
      <c r="X121" s="107"/>
      <c r="Y121" s="107"/>
      <c r="Z121" s="107"/>
      <c r="AA121" s="108"/>
      <c r="AB121" s="104"/>
      <c r="AC121" s="104"/>
      <c r="AD121" s="104"/>
    </row>
    <row r="122" spans="1:30" ht="51">
      <c r="A122" s="147"/>
      <c r="B122" s="83" t="s">
        <v>1245</v>
      </c>
      <c r="C122" s="83" t="s">
        <v>1243</v>
      </c>
      <c r="D122" s="142"/>
      <c r="E122" s="83" t="s">
        <v>1246</v>
      </c>
      <c r="F122" s="83" t="s">
        <v>241</v>
      </c>
      <c r="G122" s="139" t="s">
        <v>188</v>
      </c>
      <c r="H122" s="128"/>
      <c r="I122" s="128"/>
      <c r="J122" s="128"/>
      <c r="K122" s="149"/>
      <c r="L122" s="107"/>
      <c r="M122" s="140"/>
      <c r="N122" s="107"/>
      <c r="O122" s="107"/>
      <c r="P122" s="107"/>
      <c r="Q122" s="107"/>
      <c r="R122" s="107"/>
      <c r="S122" s="107"/>
      <c r="T122" s="107"/>
      <c r="U122" s="107"/>
      <c r="V122" s="107"/>
      <c r="W122" s="107"/>
      <c r="X122" s="107"/>
      <c r="Y122" s="107"/>
      <c r="Z122" s="107"/>
      <c r="AA122" s="108"/>
      <c r="AB122" s="104"/>
      <c r="AC122" s="104"/>
      <c r="AD122" s="104"/>
    </row>
    <row r="123" spans="1:30" ht="178.5">
      <c r="A123" s="147"/>
      <c r="B123" s="83" t="s">
        <v>1786</v>
      </c>
      <c r="C123" s="128"/>
      <c r="D123" s="142"/>
      <c r="E123" s="128"/>
      <c r="F123" s="128"/>
      <c r="G123" s="139" t="s">
        <v>188</v>
      </c>
      <c r="H123" s="128"/>
      <c r="I123" s="128"/>
      <c r="J123" s="128"/>
      <c r="K123" s="149"/>
      <c r="L123" s="107"/>
      <c r="M123" s="105"/>
      <c r="N123" s="107"/>
      <c r="O123" s="107"/>
      <c r="P123" s="107"/>
      <c r="Q123" s="107"/>
      <c r="R123" s="107"/>
      <c r="S123" s="107"/>
      <c r="T123" s="107"/>
      <c r="U123" s="107"/>
      <c r="V123" s="107"/>
      <c r="W123" s="107"/>
      <c r="X123" s="107"/>
      <c r="Y123" s="107"/>
      <c r="Z123" s="107"/>
      <c r="AA123" s="108"/>
      <c r="AB123" s="104"/>
      <c r="AC123" s="104"/>
      <c r="AD123" s="104"/>
    </row>
    <row r="124" spans="1:30" ht="51">
      <c r="A124" s="141" t="s">
        <v>242</v>
      </c>
      <c r="B124" s="83" t="s">
        <v>243</v>
      </c>
      <c r="C124" s="83" t="s">
        <v>1243</v>
      </c>
      <c r="D124" s="142"/>
      <c r="E124" s="83" t="s">
        <v>1247</v>
      </c>
      <c r="F124" s="83" t="s">
        <v>1787</v>
      </c>
      <c r="G124" s="139" t="s">
        <v>188</v>
      </c>
      <c r="H124" s="128"/>
      <c r="I124" s="128"/>
      <c r="J124" s="128"/>
      <c r="K124" s="149"/>
      <c r="L124" s="107"/>
      <c r="M124" s="140"/>
      <c r="N124" s="107"/>
      <c r="O124" s="107"/>
      <c r="P124" s="107"/>
      <c r="Q124" s="107"/>
      <c r="R124" s="107"/>
      <c r="S124" s="107"/>
      <c r="T124" s="107"/>
      <c r="U124" s="107"/>
      <c r="V124" s="107"/>
      <c r="W124" s="107"/>
      <c r="X124" s="107"/>
      <c r="Y124" s="107"/>
      <c r="Z124" s="107"/>
      <c r="AA124" s="108"/>
      <c r="AB124" s="104"/>
      <c r="AC124" s="104"/>
      <c r="AD124" s="104"/>
    </row>
    <row r="125" spans="1:30" ht="63.75">
      <c r="A125" s="141" t="s">
        <v>1248</v>
      </c>
      <c r="B125" s="83" t="s">
        <v>1249</v>
      </c>
      <c r="C125" s="83" t="s">
        <v>1243</v>
      </c>
      <c r="D125" s="142"/>
      <c r="E125" s="83" t="s">
        <v>1250</v>
      </c>
      <c r="F125" s="83" t="s">
        <v>1251</v>
      </c>
      <c r="G125" s="139" t="s">
        <v>188</v>
      </c>
      <c r="H125" s="128"/>
      <c r="I125" s="128"/>
      <c r="J125" s="128"/>
      <c r="K125" s="149"/>
      <c r="L125" s="107"/>
      <c r="M125" s="140"/>
      <c r="N125" s="107"/>
      <c r="O125" s="107"/>
      <c r="P125" s="107"/>
      <c r="Q125" s="107"/>
      <c r="R125" s="107"/>
      <c r="S125" s="107"/>
      <c r="T125" s="107"/>
      <c r="U125" s="107"/>
      <c r="V125" s="107"/>
      <c r="W125" s="107"/>
      <c r="X125" s="107"/>
      <c r="Y125" s="107"/>
      <c r="Z125" s="107"/>
      <c r="AA125" s="108"/>
      <c r="AB125" s="104"/>
      <c r="AC125" s="104"/>
      <c r="AD125" s="104"/>
    </row>
    <row r="126" spans="1:30" ht="89.25">
      <c r="A126" s="141" t="s">
        <v>244</v>
      </c>
      <c r="B126" s="83" t="s">
        <v>245</v>
      </c>
      <c r="C126" s="83" t="s">
        <v>1243</v>
      </c>
      <c r="D126" s="142"/>
      <c r="E126" s="83" t="s">
        <v>1252</v>
      </c>
      <c r="F126" s="83" t="s">
        <v>1253</v>
      </c>
      <c r="G126" s="139" t="s">
        <v>188</v>
      </c>
      <c r="H126" s="128"/>
      <c r="I126" s="128"/>
      <c r="J126" s="128"/>
      <c r="K126" s="149"/>
      <c r="L126" s="107"/>
      <c r="M126" s="140"/>
      <c r="N126" s="107"/>
      <c r="O126" s="107"/>
      <c r="P126" s="107"/>
      <c r="Q126" s="107"/>
      <c r="R126" s="107"/>
      <c r="S126" s="107"/>
      <c r="T126" s="107"/>
      <c r="U126" s="107"/>
      <c r="V126" s="107"/>
      <c r="W126" s="107"/>
      <c r="X126" s="107"/>
      <c r="Y126" s="107"/>
      <c r="Z126" s="107"/>
      <c r="AA126" s="108"/>
      <c r="AB126" s="104"/>
      <c r="AC126" s="104"/>
      <c r="AD126" s="104"/>
    </row>
    <row r="127" spans="1:30" ht="242.25">
      <c r="A127" s="147"/>
      <c r="B127" s="83" t="s">
        <v>1788</v>
      </c>
      <c r="C127" s="128"/>
      <c r="D127" s="142"/>
      <c r="E127" s="128"/>
      <c r="F127" s="128"/>
      <c r="G127" s="139" t="s">
        <v>188</v>
      </c>
      <c r="H127" s="128"/>
      <c r="I127" s="128"/>
      <c r="J127" s="128"/>
      <c r="K127" s="149"/>
      <c r="L127" s="107"/>
      <c r="M127" s="105"/>
      <c r="N127" s="107"/>
      <c r="O127" s="107"/>
      <c r="P127" s="107"/>
      <c r="Q127" s="107"/>
      <c r="R127" s="107"/>
      <c r="S127" s="107"/>
      <c r="T127" s="107"/>
      <c r="U127" s="107"/>
      <c r="V127" s="107"/>
      <c r="W127" s="107"/>
      <c r="X127" s="107"/>
      <c r="Y127" s="107"/>
      <c r="Z127" s="107"/>
      <c r="AA127" s="108"/>
      <c r="AB127" s="104"/>
      <c r="AC127" s="104"/>
      <c r="AD127" s="104"/>
    </row>
    <row r="128" spans="1:30" ht="51">
      <c r="A128" s="141" t="s">
        <v>246</v>
      </c>
      <c r="B128" s="83" t="s">
        <v>247</v>
      </c>
      <c r="C128" s="83" t="s">
        <v>1243</v>
      </c>
      <c r="D128" s="142"/>
      <c r="E128" s="83" t="s">
        <v>1254</v>
      </c>
      <c r="F128" s="83" t="s">
        <v>1255</v>
      </c>
      <c r="G128" s="139" t="s">
        <v>188</v>
      </c>
      <c r="H128" s="146"/>
      <c r="I128" s="128"/>
      <c r="J128" s="128"/>
      <c r="K128" s="149"/>
      <c r="L128" s="107"/>
      <c r="M128" s="140"/>
      <c r="N128" s="107"/>
      <c r="O128" s="107"/>
      <c r="P128" s="107"/>
      <c r="Q128" s="107"/>
      <c r="R128" s="107"/>
      <c r="S128" s="107"/>
      <c r="T128" s="107"/>
      <c r="U128" s="107"/>
      <c r="V128" s="107"/>
      <c r="W128" s="107"/>
      <c r="X128" s="107"/>
      <c r="Y128" s="107"/>
      <c r="Z128" s="107"/>
      <c r="AA128" s="108"/>
      <c r="AB128" s="104"/>
      <c r="AC128" s="104"/>
      <c r="AD128" s="104"/>
    </row>
    <row r="129" spans="1:30" ht="51">
      <c r="A129" s="141" t="s">
        <v>248</v>
      </c>
      <c r="B129" s="83" t="s">
        <v>249</v>
      </c>
      <c r="C129" s="128"/>
      <c r="D129" s="142"/>
      <c r="E129" s="128"/>
      <c r="F129" s="128"/>
      <c r="G129" s="139" t="s">
        <v>188</v>
      </c>
      <c r="H129" s="83"/>
      <c r="I129" s="128"/>
      <c r="J129" s="128"/>
      <c r="K129" s="149"/>
      <c r="L129" s="107"/>
      <c r="M129" s="105"/>
      <c r="N129" s="107"/>
      <c r="O129" s="107"/>
      <c r="P129" s="107"/>
      <c r="Q129" s="107"/>
      <c r="R129" s="107"/>
      <c r="S129" s="107"/>
      <c r="T129" s="107"/>
      <c r="U129" s="107"/>
      <c r="V129" s="107"/>
      <c r="W129" s="107"/>
      <c r="X129" s="107"/>
      <c r="Y129" s="107"/>
      <c r="Z129" s="107"/>
      <c r="AA129" s="108"/>
      <c r="AB129" s="104"/>
      <c r="AC129" s="104"/>
      <c r="AD129" s="104"/>
    </row>
    <row r="130" spans="1:30" ht="13.5">
      <c r="A130" s="262" t="s">
        <v>1266</v>
      </c>
      <c r="B130" s="237"/>
      <c r="C130" s="237"/>
      <c r="D130" s="237"/>
      <c r="E130" s="237"/>
      <c r="F130" s="237"/>
      <c r="G130" s="237"/>
      <c r="H130" s="237"/>
      <c r="I130" s="237"/>
      <c r="J130" s="238"/>
      <c r="K130" s="153"/>
      <c r="L130" s="107"/>
      <c r="M130" s="107"/>
      <c r="N130" s="107"/>
      <c r="O130" s="107"/>
      <c r="P130" s="107"/>
      <c r="Q130" s="107"/>
      <c r="R130" s="107"/>
      <c r="S130" s="107"/>
      <c r="T130" s="107"/>
      <c r="U130" s="107"/>
      <c r="V130" s="107"/>
      <c r="W130" s="107"/>
      <c r="X130" s="107"/>
      <c r="Y130" s="107"/>
      <c r="Z130" s="107"/>
      <c r="AA130" s="108"/>
      <c r="AB130" s="104"/>
      <c r="AC130" s="104"/>
      <c r="AD130" s="104"/>
    </row>
    <row r="131" spans="1:30" ht="63.75">
      <c r="A131" s="269" t="s">
        <v>1256</v>
      </c>
      <c r="B131" s="83" t="s">
        <v>1789</v>
      </c>
      <c r="C131" s="83" t="s">
        <v>1790</v>
      </c>
      <c r="D131" s="142"/>
      <c r="E131" s="83" t="s">
        <v>1790</v>
      </c>
      <c r="F131" s="83" t="s">
        <v>250</v>
      </c>
      <c r="G131" s="139" t="s">
        <v>188</v>
      </c>
      <c r="H131" s="128"/>
      <c r="I131" s="128"/>
      <c r="J131" s="128"/>
      <c r="K131" s="149"/>
      <c r="L131" s="107"/>
      <c r="M131" s="140"/>
      <c r="N131" s="107"/>
      <c r="O131" s="107"/>
      <c r="P131" s="107"/>
      <c r="Q131" s="107"/>
      <c r="R131" s="107"/>
      <c r="S131" s="107"/>
      <c r="T131" s="107"/>
      <c r="U131" s="107"/>
      <c r="V131" s="107"/>
      <c r="W131" s="107"/>
      <c r="X131" s="107"/>
      <c r="Y131" s="107"/>
      <c r="Z131" s="107"/>
      <c r="AA131" s="108"/>
      <c r="AB131" s="104"/>
      <c r="AC131" s="104"/>
      <c r="AD131" s="104"/>
    </row>
    <row r="132" spans="1:30" ht="89.25">
      <c r="A132" s="235"/>
      <c r="B132" s="83" t="s">
        <v>1791</v>
      </c>
      <c r="C132" s="83" t="s">
        <v>1790</v>
      </c>
      <c r="D132" s="142"/>
      <c r="E132" s="83" t="s">
        <v>1792</v>
      </c>
      <c r="F132" s="83" t="s">
        <v>1793</v>
      </c>
      <c r="G132" s="139" t="s">
        <v>188</v>
      </c>
      <c r="H132" s="83"/>
      <c r="I132" s="128"/>
      <c r="J132" s="128"/>
      <c r="K132" s="149"/>
      <c r="L132" s="107"/>
      <c r="M132" s="140"/>
      <c r="N132" s="107"/>
      <c r="O132" s="107"/>
      <c r="P132" s="107"/>
      <c r="Q132" s="107"/>
      <c r="R132" s="107"/>
      <c r="S132" s="107"/>
      <c r="T132" s="107"/>
      <c r="U132" s="107"/>
      <c r="V132" s="107"/>
      <c r="W132" s="107"/>
      <c r="X132" s="107"/>
      <c r="Y132" s="107"/>
      <c r="Z132" s="107"/>
      <c r="AA132" s="108"/>
      <c r="AB132" s="104"/>
      <c r="AC132" s="104"/>
      <c r="AD132" s="104"/>
    </row>
    <row r="133" spans="1:30" ht="165.75">
      <c r="A133" s="234"/>
      <c r="B133" s="83" t="s">
        <v>1794</v>
      </c>
      <c r="C133" s="128"/>
      <c r="D133" s="142"/>
      <c r="E133" s="128"/>
      <c r="F133" s="128"/>
      <c r="G133" s="139" t="s">
        <v>188</v>
      </c>
      <c r="H133" s="128"/>
      <c r="I133" s="128"/>
      <c r="J133" s="128"/>
      <c r="K133" s="149"/>
      <c r="L133" s="107"/>
      <c r="M133" s="105"/>
      <c r="N133" s="107"/>
      <c r="O133" s="107"/>
      <c r="P133" s="107"/>
      <c r="Q133" s="107"/>
      <c r="R133" s="107"/>
      <c r="S133" s="107"/>
      <c r="T133" s="107"/>
      <c r="U133" s="107"/>
      <c r="V133" s="107"/>
      <c r="W133" s="107"/>
      <c r="X133" s="107"/>
      <c r="Y133" s="107"/>
      <c r="Z133" s="107"/>
      <c r="AA133" s="108"/>
      <c r="AB133" s="104"/>
      <c r="AC133" s="104"/>
      <c r="AD133" s="104"/>
    </row>
    <row r="134" spans="1:30" ht="76.5">
      <c r="A134" s="269" t="s">
        <v>1257</v>
      </c>
      <c r="B134" s="83" t="s">
        <v>251</v>
      </c>
      <c r="C134" s="83" t="s">
        <v>1790</v>
      </c>
      <c r="D134" s="142"/>
      <c r="E134" s="83" t="s">
        <v>1258</v>
      </c>
      <c r="F134" s="83" t="s">
        <v>1795</v>
      </c>
      <c r="G134" s="139" t="s">
        <v>188</v>
      </c>
      <c r="H134" s="275"/>
      <c r="I134" s="128"/>
      <c r="J134" s="128"/>
      <c r="K134" s="149"/>
      <c r="L134" s="107"/>
      <c r="M134" s="140"/>
      <c r="N134" s="107"/>
      <c r="O134" s="107"/>
      <c r="P134" s="107"/>
      <c r="Q134" s="107"/>
      <c r="R134" s="107"/>
      <c r="S134" s="107"/>
      <c r="T134" s="107"/>
      <c r="U134" s="107"/>
      <c r="V134" s="107"/>
      <c r="W134" s="107"/>
      <c r="X134" s="107"/>
      <c r="Y134" s="107"/>
      <c r="Z134" s="107"/>
      <c r="AA134" s="108"/>
      <c r="AB134" s="104"/>
      <c r="AC134" s="104"/>
      <c r="AD134" s="104"/>
    </row>
    <row r="135" spans="1:30" ht="204">
      <c r="A135" s="235"/>
      <c r="B135" s="83" t="s">
        <v>1796</v>
      </c>
      <c r="C135" s="128"/>
      <c r="D135" s="142"/>
      <c r="E135" s="128"/>
      <c r="F135" s="128"/>
      <c r="G135" s="139" t="s">
        <v>188</v>
      </c>
      <c r="H135" s="235"/>
      <c r="I135" s="128"/>
      <c r="J135" s="128"/>
      <c r="K135" s="149"/>
      <c r="L135" s="107"/>
      <c r="M135" s="105"/>
      <c r="N135" s="107"/>
      <c r="O135" s="107"/>
      <c r="P135" s="107"/>
      <c r="Q135" s="107"/>
      <c r="R135" s="107"/>
      <c r="S135" s="107"/>
      <c r="T135" s="107"/>
      <c r="U135" s="107"/>
      <c r="V135" s="107"/>
      <c r="W135" s="107"/>
      <c r="X135" s="107"/>
      <c r="Y135" s="107"/>
      <c r="Z135" s="107"/>
      <c r="AA135" s="108"/>
      <c r="AB135" s="104"/>
      <c r="AC135" s="104"/>
      <c r="AD135" s="104"/>
    </row>
    <row r="136" spans="1:30" ht="89.25">
      <c r="A136" s="234"/>
      <c r="B136" s="83" t="s">
        <v>1259</v>
      </c>
      <c r="C136" s="83" t="s">
        <v>1790</v>
      </c>
      <c r="D136" s="142"/>
      <c r="E136" s="83" t="s">
        <v>1260</v>
      </c>
      <c r="F136" s="83" t="s">
        <v>1797</v>
      </c>
      <c r="G136" s="139" t="s">
        <v>188</v>
      </c>
      <c r="H136" s="234"/>
      <c r="I136" s="128"/>
      <c r="J136" s="128"/>
      <c r="K136" s="149"/>
      <c r="L136" s="107"/>
      <c r="M136" s="140"/>
      <c r="N136" s="107"/>
      <c r="O136" s="107"/>
      <c r="P136" s="107"/>
      <c r="Q136" s="107"/>
      <c r="R136" s="107"/>
      <c r="S136" s="107"/>
      <c r="T136" s="107"/>
      <c r="U136" s="107"/>
      <c r="V136" s="107"/>
      <c r="W136" s="107"/>
      <c r="X136" s="107"/>
      <c r="Y136" s="107"/>
      <c r="Z136" s="107"/>
      <c r="AA136" s="108"/>
      <c r="AB136" s="104"/>
      <c r="AC136" s="104"/>
      <c r="AD136" s="104"/>
    </row>
    <row r="137" spans="1:30" ht="63.75">
      <c r="A137" s="141" t="s">
        <v>1261</v>
      </c>
      <c r="B137" s="83" t="s">
        <v>252</v>
      </c>
      <c r="C137" s="83" t="s">
        <v>1790</v>
      </c>
      <c r="D137" s="142"/>
      <c r="E137" s="83" t="s">
        <v>1798</v>
      </c>
      <c r="F137" s="83" t="s">
        <v>1799</v>
      </c>
      <c r="G137" s="139" t="s">
        <v>188</v>
      </c>
      <c r="H137" s="83"/>
      <c r="I137" s="128"/>
      <c r="J137" s="128"/>
      <c r="K137" s="149"/>
      <c r="L137" s="107"/>
      <c r="M137" s="140"/>
      <c r="N137" s="107"/>
      <c r="O137" s="107"/>
      <c r="P137" s="107"/>
      <c r="Q137" s="107"/>
      <c r="R137" s="107"/>
      <c r="S137" s="107"/>
      <c r="T137" s="107"/>
      <c r="U137" s="107"/>
      <c r="V137" s="107"/>
      <c r="W137" s="107"/>
      <c r="X137" s="107"/>
      <c r="Y137" s="107"/>
      <c r="Z137" s="107"/>
      <c r="AA137" s="108"/>
      <c r="AB137" s="104"/>
      <c r="AC137" s="104"/>
      <c r="AD137" s="104"/>
    </row>
    <row r="138" spans="1:30" ht="51">
      <c r="A138" s="141" t="s">
        <v>1262</v>
      </c>
      <c r="B138" s="83" t="s">
        <v>1267</v>
      </c>
      <c r="C138" s="83" t="s">
        <v>1790</v>
      </c>
      <c r="D138" s="142"/>
      <c r="E138" s="83" t="s">
        <v>1800</v>
      </c>
      <c r="F138" s="83" t="s">
        <v>253</v>
      </c>
      <c r="G138" s="139" t="s">
        <v>188</v>
      </c>
      <c r="H138" s="128"/>
      <c r="I138" s="128"/>
      <c r="J138" s="128"/>
      <c r="K138" s="149"/>
      <c r="L138" s="107"/>
      <c r="M138" s="140"/>
      <c r="N138" s="107"/>
      <c r="O138" s="107"/>
      <c r="P138" s="107"/>
      <c r="Q138" s="107"/>
      <c r="R138" s="107"/>
      <c r="S138" s="107"/>
      <c r="T138" s="107"/>
      <c r="U138" s="107"/>
      <c r="V138" s="107"/>
      <c r="W138" s="107"/>
      <c r="X138" s="107"/>
      <c r="Y138" s="107"/>
      <c r="Z138" s="107"/>
      <c r="AA138" s="108"/>
      <c r="AB138" s="104"/>
      <c r="AC138" s="104"/>
      <c r="AD138" s="104"/>
    </row>
    <row r="139" spans="1:30" ht="51">
      <c r="A139" s="141" t="s">
        <v>1263</v>
      </c>
      <c r="B139" s="83" t="s">
        <v>1264</v>
      </c>
      <c r="C139" s="83" t="s">
        <v>1790</v>
      </c>
      <c r="D139" s="142"/>
      <c r="E139" s="83" t="s">
        <v>1265</v>
      </c>
      <c r="F139" s="83" t="s">
        <v>254</v>
      </c>
      <c r="G139" s="139" t="s">
        <v>188</v>
      </c>
      <c r="H139" s="83"/>
      <c r="I139" s="128"/>
      <c r="J139" s="128"/>
      <c r="K139" s="149"/>
      <c r="L139" s="107"/>
      <c r="M139" s="140"/>
      <c r="N139" s="107"/>
      <c r="O139" s="107"/>
      <c r="P139" s="107"/>
      <c r="Q139" s="107"/>
      <c r="R139" s="107"/>
      <c r="S139" s="107"/>
      <c r="T139" s="107"/>
      <c r="U139" s="107"/>
      <c r="V139" s="107"/>
      <c r="W139" s="107"/>
      <c r="X139" s="107"/>
      <c r="Y139" s="107"/>
      <c r="Z139" s="107"/>
      <c r="AA139" s="108"/>
      <c r="AB139" s="104"/>
      <c r="AC139" s="104"/>
      <c r="AD139" s="104"/>
    </row>
    <row r="140" spans="1:30" ht="63.75">
      <c r="A140" s="141" t="s">
        <v>255</v>
      </c>
      <c r="B140" s="83" t="s">
        <v>256</v>
      </c>
      <c r="C140" s="128"/>
      <c r="D140" s="142"/>
      <c r="E140" s="83" t="s">
        <v>1268</v>
      </c>
      <c r="F140" s="128"/>
      <c r="G140" s="139" t="s">
        <v>188</v>
      </c>
      <c r="H140" s="83"/>
      <c r="I140" s="128"/>
      <c r="J140" s="128"/>
      <c r="K140" s="149"/>
      <c r="L140" s="107"/>
      <c r="M140" s="105"/>
      <c r="N140" s="107"/>
      <c r="O140" s="107"/>
      <c r="P140" s="107"/>
      <c r="Q140" s="107"/>
      <c r="R140" s="107"/>
      <c r="S140" s="107"/>
      <c r="T140" s="107"/>
      <c r="U140" s="107"/>
      <c r="V140" s="107"/>
      <c r="W140" s="107"/>
      <c r="X140" s="107"/>
      <c r="Y140" s="107"/>
      <c r="Z140" s="107"/>
      <c r="AA140" s="108"/>
      <c r="AB140" s="104"/>
      <c r="AC140" s="104"/>
      <c r="AD140" s="104"/>
    </row>
    <row r="141" spans="1:30" ht="13.5">
      <c r="A141" s="262" t="s">
        <v>279</v>
      </c>
      <c r="B141" s="237"/>
      <c r="C141" s="237"/>
      <c r="D141" s="237"/>
      <c r="E141" s="237"/>
      <c r="F141" s="237"/>
      <c r="G141" s="237"/>
      <c r="H141" s="237"/>
      <c r="I141" s="237"/>
      <c r="J141" s="238"/>
      <c r="K141" s="148"/>
      <c r="L141" s="107"/>
      <c r="M141" s="107"/>
      <c r="N141" s="107"/>
      <c r="O141" s="107"/>
      <c r="P141" s="107"/>
      <c r="Q141" s="107"/>
      <c r="R141" s="107"/>
      <c r="S141" s="107"/>
      <c r="T141" s="107"/>
      <c r="U141" s="107"/>
      <c r="V141" s="107"/>
      <c r="W141" s="107"/>
      <c r="X141" s="107"/>
      <c r="Y141" s="107"/>
      <c r="Z141" s="107"/>
      <c r="AA141" s="108"/>
      <c r="AB141" s="104"/>
      <c r="AC141" s="104"/>
      <c r="AD141" s="104"/>
    </row>
    <row r="142" spans="1:30" ht="63.75">
      <c r="A142" s="141" t="s">
        <v>281</v>
      </c>
      <c r="B142" s="83" t="s">
        <v>1269</v>
      </c>
      <c r="C142" s="83" t="s">
        <v>1270</v>
      </c>
      <c r="D142" s="142"/>
      <c r="E142" s="83" t="s">
        <v>1271</v>
      </c>
      <c r="F142" s="83" t="s">
        <v>282</v>
      </c>
      <c r="G142" s="139" t="s">
        <v>188</v>
      </c>
      <c r="H142" s="128"/>
      <c r="I142" s="83"/>
      <c r="J142" s="83"/>
      <c r="K142" s="149"/>
      <c r="L142" s="107"/>
      <c r="M142" s="140"/>
      <c r="N142" s="107"/>
      <c r="O142" s="107"/>
      <c r="P142" s="107"/>
      <c r="Q142" s="107"/>
      <c r="R142" s="107"/>
      <c r="S142" s="107"/>
      <c r="T142" s="107"/>
      <c r="U142" s="107"/>
      <c r="V142" s="107"/>
      <c r="W142" s="107"/>
      <c r="X142" s="107"/>
      <c r="Y142" s="107"/>
      <c r="Z142" s="107"/>
      <c r="AA142" s="108"/>
      <c r="AB142" s="104"/>
      <c r="AC142" s="104"/>
      <c r="AD142" s="104"/>
    </row>
    <row r="143" spans="1:30" ht="12.75">
      <c r="A143" s="268" t="s">
        <v>280</v>
      </c>
      <c r="B143" s="237"/>
      <c r="C143" s="237"/>
      <c r="D143" s="237"/>
      <c r="E143" s="237"/>
      <c r="F143" s="237"/>
      <c r="G143" s="237"/>
      <c r="H143" s="237"/>
      <c r="I143" s="237"/>
      <c r="J143" s="238"/>
      <c r="K143" s="148"/>
      <c r="L143" s="107"/>
      <c r="M143" s="107"/>
      <c r="N143" s="107"/>
      <c r="O143" s="107"/>
      <c r="P143" s="107"/>
      <c r="Q143" s="107"/>
      <c r="R143" s="107"/>
      <c r="S143" s="107"/>
      <c r="T143" s="107"/>
      <c r="U143" s="107"/>
      <c r="V143" s="107"/>
      <c r="W143" s="107"/>
      <c r="X143" s="107"/>
      <c r="Y143" s="107"/>
      <c r="Z143" s="107"/>
      <c r="AA143" s="108"/>
      <c r="AB143" s="104"/>
      <c r="AC143" s="104"/>
      <c r="AD143" s="104"/>
    </row>
    <row r="144" spans="1:30" ht="63.75">
      <c r="A144" s="154" t="s">
        <v>1272</v>
      </c>
      <c r="B144" s="83" t="s">
        <v>1273</v>
      </c>
      <c r="C144" s="128"/>
      <c r="D144" s="142"/>
      <c r="E144" s="83" t="s">
        <v>1801</v>
      </c>
      <c r="F144" s="142"/>
      <c r="G144" s="139" t="s">
        <v>188</v>
      </c>
      <c r="H144" s="128"/>
      <c r="I144" s="128"/>
      <c r="J144" s="128"/>
      <c r="K144" s="149"/>
      <c r="L144" s="107"/>
      <c r="M144" s="105"/>
      <c r="N144" s="107"/>
      <c r="O144" s="107"/>
      <c r="P144" s="107"/>
      <c r="Q144" s="107"/>
      <c r="R144" s="107"/>
      <c r="S144" s="107"/>
      <c r="T144" s="107"/>
      <c r="U144" s="107"/>
      <c r="V144" s="107"/>
      <c r="W144" s="107"/>
      <c r="X144" s="107"/>
      <c r="Y144" s="107"/>
      <c r="Z144" s="107"/>
      <c r="AA144" s="108"/>
      <c r="AB144" s="104"/>
      <c r="AC144" s="104"/>
      <c r="AD144" s="104"/>
    </row>
    <row r="145" spans="1:30" ht="63.75">
      <c r="A145" s="155"/>
      <c r="B145" s="83" t="s">
        <v>1274</v>
      </c>
      <c r="C145" s="128"/>
      <c r="D145" s="142"/>
      <c r="E145" s="83" t="s">
        <v>1271</v>
      </c>
      <c r="F145" s="142"/>
      <c r="G145" s="139" t="s">
        <v>188</v>
      </c>
      <c r="H145" s="128"/>
      <c r="I145" s="128"/>
      <c r="J145" s="128"/>
      <c r="K145" s="149"/>
      <c r="L145" s="107"/>
      <c r="M145" s="105"/>
      <c r="N145" s="107"/>
      <c r="O145" s="107"/>
      <c r="P145" s="107"/>
      <c r="Q145" s="107"/>
      <c r="R145" s="107"/>
      <c r="S145" s="107"/>
      <c r="T145" s="107"/>
      <c r="U145" s="107"/>
      <c r="V145" s="107"/>
      <c r="W145" s="107"/>
      <c r="X145" s="107"/>
      <c r="Y145" s="107"/>
      <c r="Z145" s="107"/>
      <c r="AA145" s="108"/>
      <c r="AB145" s="104"/>
      <c r="AC145" s="104"/>
      <c r="AD145" s="104"/>
    </row>
    <row r="146" spans="1:30" ht="178.5">
      <c r="A146" s="155"/>
      <c r="B146" s="83" t="s">
        <v>1802</v>
      </c>
      <c r="C146" s="128"/>
      <c r="D146" s="142"/>
      <c r="E146" s="128"/>
      <c r="F146" s="142"/>
      <c r="G146" s="139" t="s">
        <v>188</v>
      </c>
      <c r="H146" s="146"/>
      <c r="I146" s="128"/>
      <c r="J146" s="128"/>
      <c r="K146" s="149"/>
      <c r="L146" s="107"/>
      <c r="M146" s="105"/>
      <c r="N146" s="107"/>
      <c r="O146" s="107"/>
      <c r="P146" s="107"/>
      <c r="Q146" s="107"/>
      <c r="R146" s="107"/>
      <c r="S146" s="107"/>
      <c r="T146" s="107"/>
      <c r="U146" s="107"/>
      <c r="V146" s="107"/>
      <c r="W146" s="107"/>
      <c r="X146" s="107"/>
      <c r="Y146" s="107"/>
      <c r="Z146" s="107"/>
      <c r="AA146" s="108"/>
      <c r="AB146" s="104"/>
      <c r="AC146" s="104"/>
      <c r="AD146" s="104"/>
    </row>
    <row r="147" spans="1:30" ht="89.25">
      <c r="A147" s="141" t="s">
        <v>1275</v>
      </c>
      <c r="B147" s="83" t="s">
        <v>1276</v>
      </c>
      <c r="C147" s="83" t="s">
        <v>1270</v>
      </c>
      <c r="D147" s="142"/>
      <c r="E147" s="83" t="s">
        <v>1277</v>
      </c>
      <c r="F147" s="142"/>
      <c r="G147" s="139" t="s">
        <v>188</v>
      </c>
      <c r="H147" s="128"/>
      <c r="I147" s="128"/>
      <c r="J147" s="128"/>
      <c r="K147" s="149"/>
      <c r="L147" s="107"/>
      <c r="M147" s="105"/>
      <c r="N147" s="107"/>
      <c r="O147" s="107"/>
      <c r="P147" s="107"/>
      <c r="Q147" s="107"/>
      <c r="R147" s="107"/>
      <c r="S147" s="107"/>
      <c r="T147" s="107"/>
      <c r="U147" s="107"/>
      <c r="V147" s="107"/>
      <c r="W147" s="107"/>
      <c r="X147" s="107"/>
      <c r="Y147" s="107"/>
      <c r="Z147" s="107"/>
      <c r="AA147" s="108"/>
      <c r="AB147" s="104"/>
      <c r="AC147" s="104"/>
      <c r="AD147" s="104"/>
    </row>
    <row r="148" spans="1:30" ht="204">
      <c r="A148" s="147"/>
      <c r="B148" s="83" t="s">
        <v>1803</v>
      </c>
      <c r="C148" s="128"/>
      <c r="D148" s="142"/>
      <c r="E148" s="128"/>
      <c r="F148" s="142"/>
      <c r="G148" s="139" t="s">
        <v>188</v>
      </c>
      <c r="H148" s="146"/>
      <c r="I148" s="128"/>
      <c r="J148" s="128"/>
      <c r="K148" s="149"/>
      <c r="L148" s="107"/>
      <c r="M148" s="105"/>
      <c r="N148" s="107"/>
      <c r="O148" s="107"/>
      <c r="P148" s="107"/>
      <c r="Q148" s="107"/>
      <c r="R148" s="107"/>
      <c r="S148" s="107"/>
      <c r="T148" s="107"/>
      <c r="U148" s="107"/>
      <c r="V148" s="107"/>
      <c r="W148" s="107"/>
      <c r="X148" s="107"/>
      <c r="Y148" s="107"/>
      <c r="Z148" s="107"/>
      <c r="AA148" s="108"/>
      <c r="AB148" s="104"/>
      <c r="AC148" s="104"/>
      <c r="AD148" s="104"/>
    </row>
    <row r="149" spans="1:30" ht="89.25">
      <c r="A149" s="147"/>
      <c r="B149" s="83" t="s">
        <v>1278</v>
      </c>
      <c r="C149" s="83" t="s">
        <v>1270</v>
      </c>
      <c r="D149" s="142"/>
      <c r="E149" s="83" t="s">
        <v>1277</v>
      </c>
      <c r="F149" s="142"/>
      <c r="G149" s="139" t="s">
        <v>188</v>
      </c>
      <c r="H149" s="83"/>
      <c r="I149" s="128"/>
      <c r="J149" s="128"/>
      <c r="K149" s="149"/>
      <c r="L149" s="107"/>
      <c r="M149" s="105"/>
      <c r="N149" s="107"/>
      <c r="O149" s="107"/>
      <c r="P149" s="107"/>
      <c r="Q149" s="107"/>
      <c r="R149" s="107"/>
      <c r="S149" s="107"/>
      <c r="T149" s="107"/>
      <c r="U149" s="107"/>
      <c r="V149" s="107"/>
      <c r="W149" s="107"/>
      <c r="X149" s="107"/>
      <c r="Y149" s="107"/>
      <c r="Z149" s="107"/>
      <c r="AA149" s="108"/>
      <c r="AB149" s="104"/>
      <c r="AC149" s="104"/>
      <c r="AD149" s="104"/>
    </row>
    <row r="150" spans="1:30" ht="25.5">
      <c r="A150" s="147"/>
      <c r="B150" s="83" t="s">
        <v>1279</v>
      </c>
      <c r="C150" s="128"/>
      <c r="D150" s="142"/>
      <c r="E150" s="128"/>
      <c r="F150" s="142"/>
      <c r="G150" s="139" t="s">
        <v>188</v>
      </c>
      <c r="H150" s="128"/>
      <c r="I150" s="128"/>
      <c r="J150" s="128"/>
      <c r="K150" s="149"/>
      <c r="L150" s="107"/>
      <c r="M150" s="105"/>
      <c r="N150" s="107"/>
      <c r="O150" s="107"/>
      <c r="P150" s="107"/>
      <c r="Q150" s="107"/>
      <c r="R150" s="107"/>
      <c r="S150" s="107"/>
      <c r="T150" s="107"/>
      <c r="U150" s="107"/>
      <c r="V150" s="107"/>
      <c r="W150" s="107"/>
      <c r="X150" s="107"/>
      <c r="Y150" s="107"/>
      <c r="Z150" s="107"/>
      <c r="AA150" s="108"/>
      <c r="AB150" s="104"/>
      <c r="AC150" s="104"/>
      <c r="AD150" s="104"/>
    </row>
    <row r="151" spans="1:30" ht="28.5">
      <c r="A151" s="147"/>
      <c r="B151" s="156" t="s">
        <v>1280</v>
      </c>
      <c r="C151" s="128"/>
      <c r="D151" s="142"/>
      <c r="E151" s="128"/>
      <c r="F151" s="142"/>
      <c r="G151" s="139" t="s">
        <v>188</v>
      </c>
      <c r="H151" s="146"/>
      <c r="I151" s="128"/>
      <c r="J151" s="128"/>
      <c r="K151" s="149"/>
      <c r="L151" s="107"/>
      <c r="M151" s="105"/>
      <c r="N151" s="107"/>
      <c r="O151" s="107"/>
      <c r="P151" s="107"/>
      <c r="Q151" s="107"/>
      <c r="R151" s="107"/>
      <c r="S151" s="107"/>
      <c r="T151" s="107"/>
      <c r="U151" s="107"/>
      <c r="V151" s="107"/>
      <c r="W151" s="107"/>
      <c r="X151" s="107"/>
      <c r="Y151" s="107"/>
      <c r="Z151" s="107"/>
      <c r="AA151" s="108"/>
      <c r="AB151" s="104"/>
      <c r="AC151" s="104"/>
      <c r="AD151" s="104"/>
    </row>
    <row r="152" spans="1:30" ht="25.5">
      <c r="A152" s="147"/>
      <c r="B152" s="83" t="s">
        <v>1281</v>
      </c>
      <c r="C152" s="128"/>
      <c r="D152" s="142"/>
      <c r="E152" s="128"/>
      <c r="F152" s="142"/>
      <c r="G152" s="139" t="s">
        <v>188</v>
      </c>
      <c r="H152" s="83"/>
      <c r="I152" s="128"/>
      <c r="J152" s="128"/>
      <c r="K152" s="149"/>
      <c r="L152" s="107"/>
      <c r="M152" s="105"/>
      <c r="N152" s="107"/>
      <c r="O152" s="107"/>
      <c r="P152" s="107"/>
      <c r="Q152" s="107"/>
      <c r="R152" s="107"/>
      <c r="S152" s="107"/>
      <c r="T152" s="107"/>
      <c r="U152" s="107"/>
      <c r="V152" s="107"/>
      <c r="W152" s="107"/>
      <c r="X152" s="107"/>
      <c r="Y152" s="107"/>
      <c r="Z152" s="107"/>
      <c r="AA152" s="108"/>
      <c r="AB152" s="104"/>
      <c r="AC152" s="104"/>
      <c r="AD152" s="104"/>
    </row>
    <row r="153" spans="1:30" ht="12.75">
      <c r="A153" s="268" t="s">
        <v>284</v>
      </c>
      <c r="B153" s="237"/>
      <c r="C153" s="237"/>
      <c r="D153" s="237"/>
      <c r="E153" s="237"/>
      <c r="F153" s="237"/>
      <c r="G153" s="237"/>
      <c r="H153" s="237"/>
      <c r="I153" s="237"/>
      <c r="J153" s="238"/>
      <c r="K153" s="148"/>
      <c r="L153" s="107"/>
      <c r="M153" s="107"/>
      <c r="N153" s="107"/>
      <c r="O153" s="107"/>
      <c r="P153" s="107"/>
      <c r="Q153" s="107"/>
      <c r="R153" s="107"/>
      <c r="S153" s="107"/>
      <c r="T153" s="107"/>
      <c r="U153" s="107"/>
      <c r="V153" s="107"/>
      <c r="W153" s="107"/>
      <c r="X153" s="107"/>
      <c r="Y153" s="107"/>
      <c r="Z153" s="107"/>
      <c r="AA153" s="108"/>
      <c r="AB153" s="104"/>
      <c r="AC153" s="104"/>
      <c r="AD153" s="104"/>
    </row>
    <row r="154" spans="1:30" ht="38.25">
      <c r="A154" s="141" t="s">
        <v>1282</v>
      </c>
      <c r="B154" s="83" t="s">
        <v>1283</v>
      </c>
      <c r="C154" s="83" t="s">
        <v>1270</v>
      </c>
      <c r="D154" s="142"/>
      <c r="E154" s="83" t="s">
        <v>1284</v>
      </c>
      <c r="F154" s="83" t="s">
        <v>1285</v>
      </c>
      <c r="G154" s="139" t="s">
        <v>188</v>
      </c>
      <c r="H154" s="128"/>
      <c r="I154" s="128"/>
      <c r="J154" s="128"/>
      <c r="K154" s="149"/>
      <c r="L154" s="107"/>
      <c r="M154" s="140"/>
      <c r="N154" s="107"/>
      <c r="O154" s="107"/>
      <c r="P154" s="107"/>
      <c r="Q154" s="107"/>
      <c r="R154" s="107"/>
      <c r="S154" s="107"/>
      <c r="T154" s="107"/>
      <c r="U154" s="107"/>
      <c r="V154" s="107"/>
      <c r="W154" s="107"/>
      <c r="X154" s="107"/>
      <c r="Y154" s="107"/>
      <c r="Z154" s="107"/>
      <c r="AA154" s="108"/>
      <c r="AB154" s="104"/>
      <c r="AC154" s="104"/>
      <c r="AD154" s="104"/>
    </row>
    <row r="155" spans="1:30" ht="25.5">
      <c r="A155" s="155"/>
      <c r="B155" s="83" t="s">
        <v>1274</v>
      </c>
      <c r="C155" s="128"/>
      <c r="D155" s="142"/>
      <c r="E155" s="128"/>
      <c r="F155" s="128"/>
      <c r="G155" s="139" t="s">
        <v>188</v>
      </c>
      <c r="H155" s="128"/>
      <c r="I155" s="128"/>
      <c r="J155" s="128"/>
      <c r="K155" s="149"/>
      <c r="L155" s="107"/>
      <c r="M155" s="105"/>
      <c r="N155" s="107"/>
      <c r="O155" s="107"/>
      <c r="P155" s="107"/>
      <c r="Q155" s="107"/>
      <c r="R155" s="107"/>
      <c r="S155" s="107"/>
      <c r="T155" s="107"/>
      <c r="U155" s="107"/>
      <c r="V155" s="107"/>
      <c r="W155" s="107"/>
      <c r="X155" s="107"/>
      <c r="Y155" s="107"/>
      <c r="Z155" s="107"/>
      <c r="AA155" s="108"/>
      <c r="AB155" s="104"/>
      <c r="AC155" s="104"/>
      <c r="AD155" s="104"/>
    </row>
    <row r="156" spans="1:30" ht="178.5">
      <c r="A156" s="147"/>
      <c r="B156" s="83" t="s">
        <v>1802</v>
      </c>
      <c r="C156" s="128"/>
      <c r="D156" s="142"/>
      <c r="E156" s="128"/>
      <c r="F156" s="128"/>
      <c r="G156" s="139" t="s">
        <v>188</v>
      </c>
      <c r="H156" s="128"/>
      <c r="I156" s="128"/>
      <c r="J156" s="128"/>
      <c r="K156" s="149"/>
      <c r="L156" s="107"/>
      <c r="M156" s="105"/>
      <c r="N156" s="107"/>
      <c r="O156" s="107"/>
      <c r="P156" s="107"/>
      <c r="Q156" s="107"/>
      <c r="R156" s="107"/>
      <c r="S156" s="107"/>
      <c r="T156" s="107"/>
      <c r="U156" s="107"/>
      <c r="V156" s="107"/>
      <c r="W156" s="107"/>
      <c r="X156" s="107"/>
      <c r="Y156" s="107"/>
      <c r="Z156" s="107"/>
      <c r="AA156" s="108"/>
      <c r="AB156" s="104"/>
      <c r="AC156" s="104"/>
      <c r="AD156" s="104"/>
    </row>
    <row r="157" spans="1:30" ht="63.75">
      <c r="A157" s="141" t="s">
        <v>285</v>
      </c>
      <c r="B157" s="83" t="s">
        <v>1278</v>
      </c>
      <c r="C157" s="83" t="s">
        <v>1270</v>
      </c>
      <c r="D157" s="142"/>
      <c r="E157" s="83" t="s">
        <v>1286</v>
      </c>
      <c r="F157" s="83" t="s">
        <v>286</v>
      </c>
      <c r="G157" s="139" t="s">
        <v>188</v>
      </c>
      <c r="H157" s="83"/>
      <c r="I157" s="128"/>
      <c r="J157" s="128"/>
      <c r="K157" s="149"/>
      <c r="L157" s="107"/>
      <c r="M157" s="140"/>
      <c r="N157" s="107"/>
      <c r="O157" s="107"/>
      <c r="P157" s="107"/>
      <c r="Q157" s="107"/>
      <c r="R157" s="107"/>
      <c r="S157" s="107"/>
      <c r="T157" s="107"/>
      <c r="U157" s="107"/>
      <c r="V157" s="107"/>
      <c r="W157" s="107"/>
      <c r="X157" s="107"/>
      <c r="Y157" s="107"/>
      <c r="Z157" s="107"/>
      <c r="AA157" s="108"/>
      <c r="AB157" s="104"/>
      <c r="AC157" s="104"/>
      <c r="AD157" s="104"/>
    </row>
    <row r="158" spans="1:30" ht="51">
      <c r="A158" s="141" t="s">
        <v>287</v>
      </c>
      <c r="B158" s="83" t="s">
        <v>266</v>
      </c>
      <c r="C158" s="83" t="s">
        <v>1270</v>
      </c>
      <c r="D158" s="142"/>
      <c r="E158" s="83" t="s">
        <v>1287</v>
      </c>
      <c r="F158" s="83" t="s">
        <v>267</v>
      </c>
      <c r="G158" s="139" t="s">
        <v>188</v>
      </c>
      <c r="H158" s="128"/>
      <c r="I158" s="128"/>
      <c r="J158" s="128"/>
      <c r="K158" s="149"/>
      <c r="L158" s="107"/>
      <c r="M158" s="140"/>
      <c r="N158" s="107"/>
      <c r="O158" s="107"/>
      <c r="P158" s="107"/>
      <c r="Q158" s="107"/>
      <c r="R158" s="107"/>
      <c r="S158" s="107"/>
      <c r="T158" s="107"/>
      <c r="U158" s="107"/>
      <c r="V158" s="107"/>
      <c r="W158" s="107"/>
      <c r="X158" s="107"/>
      <c r="Y158" s="107"/>
      <c r="Z158" s="107"/>
      <c r="AA158" s="108"/>
      <c r="AB158" s="104"/>
      <c r="AC158" s="104"/>
      <c r="AD158" s="104"/>
    </row>
    <row r="159" spans="1:30" ht="51">
      <c r="A159" s="141" t="s">
        <v>288</v>
      </c>
      <c r="B159" s="83" t="s">
        <v>1288</v>
      </c>
      <c r="C159" s="83" t="s">
        <v>1270</v>
      </c>
      <c r="D159" s="142"/>
      <c r="E159" s="83" t="s">
        <v>1804</v>
      </c>
      <c r="F159" s="83" t="s">
        <v>1289</v>
      </c>
      <c r="G159" s="139" t="s">
        <v>188</v>
      </c>
      <c r="H159" s="146"/>
      <c r="I159" s="128"/>
      <c r="J159" s="128"/>
      <c r="K159" s="149"/>
      <c r="L159" s="107"/>
      <c r="M159" s="140"/>
      <c r="N159" s="107"/>
      <c r="O159" s="107"/>
      <c r="P159" s="107"/>
      <c r="Q159" s="107"/>
      <c r="R159" s="107"/>
      <c r="S159" s="107"/>
      <c r="T159" s="107"/>
      <c r="U159" s="107"/>
      <c r="V159" s="107"/>
      <c r="W159" s="107"/>
      <c r="X159" s="107"/>
      <c r="Y159" s="107"/>
      <c r="Z159" s="107"/>
      <c r="AA159" s="108"/>
      <c r="AB159" s="104"/>
      <c r="AC159" s="104"/>
      <c r="AD159" s="104"/>
    </row>
    <row r="160" spans="1:30" ht="89.25">
      <c r="A160" s="141" t="s">
        <v>289</v>
      </c>
      <c r="B160" s="83" t="s">
        <v>1290</v>
      </c>
      <c r="C160" s="83" t="s">
        <v>1270</v>
      </c>
      <c r="D160" s="142"/>
      <c r="E160" s="83" t="s">
        <v>1805</v>
      </c>
      <c r="F160" s="83" t="s">
        <v>1291</v>
      </c>
      <c r="G160" s="139" t="s">
        <v>188</v>
      </c>
      <c r="H160" s="128"/>
      <c r="I160" s="128"/>
      <c r="J160" s="128"/>
      <c r="K160" s="149"/>
      <c r="L160" s="107"/>
      <c r="M160" s="140"/>
      <c r="N160" s="107"/>
      <c r="O160" s="107"/>
      <c r="P160" s="107"/>
      <c r="Q160" s="107"/>
      <c r="R160" s="107"/>
      <c r="S160" s="107"/>
      <c r="T160" s="107"/>
      <c r="U160" s="107"/>
      <c r="V160" s="107"/>
      <c r="W160" s="107"/>
      <c r="X160" s="107"/>
      <c r="Y160" s="107"/>
      <c r="Z160" s="107"/>
      <c r="AA160" s="108"/>
      <c r="AB160" s="104"/>
      <c r="AC160" s="104"/>
      <c r="AD160" s="104"/>
    </row>
    <row r="161" spans="1:30" ht="76.5">
      <c r="A161" s="147"/>
      <c r="B161" s="83" t="s">
        <v>1292</v>
      </c>
      <c r="C161" s="83" t="s">
        <v>1270</v>
      </c>
      <c r="D161" s="142"/>
      <c r="E161" s="83" t="s">
        <v>1293</v>
      </c>
      <c r="F161" s="83" t="s">
        <v>1294</v>
      </c>
      <c r="G161" s="139" t="s">
        <v>188</v>
      </c>
      <c r="H161" s="128"/>
      <c r="I161" s="128"/>
      <c r="J161" s="128"/>
      <c r="K161" s="149"/>
      <c r="L161" s="107"/>
      <c r="M161" s="140"/>
      <c r="N161" s="107"/>
      <c r="O161" s="107"/>
      <c r="P161" s="107"/>
      <c r="Q161" s="107"/>
      <c r="R161" s="107"/>
      <c r="S161" s="107"/>
      <c r="T161" s="107"/>
      <c r="U161" s="107"/>
      <c r="V161" s="107"/>
      <c r="W161" s="107"/>
      <c r="X161" s="107"/>
      <c r="Y161" s="107"/>
      <c r="Z161" s="107"/>
      <c r="AA161" s="108"/>
      <c r="AB161" s="104"/>
      <c r="AC161" s="104"/>
      <c r="AD161" s="104"/>
    </row>
    <row r="162" spans="1:30" ht="38.25">
      <c r="A162" s="147"/>
      <c r="B162" s="83" t="s">
        <v>1295</v>
      </c>
      <c r="C162" s="83" t="s">
        <v>1270</v>
      </c>
      <c r="D162" s="142"/>
      <c r="E162" s="83" t="s">
        <v>1296</v>
      </c>
      <c r="F162" s="83" t="s">
        <v>290</v>
      </c>
      <c r="G162" s="139" t="s">
        <v>188</v>
      </c>
      <c r="H162" s="128"/>
      <c r="I162" s="128"/>
      <c r="J162" s="128"/>
      <c r="K162" s="149"/>
      <c r="L162" s="107"/>
      <c r="M162" s="140"/>
      <c r="N162" s="107"/>
      <c r="O162" s="107"/>
      <c r="P162" s="107"/>
      <c r="Q162" s="107"/>
      <c r="R162" s="107"/>
      <c r="S162" s="107"/>
      <c r="T162" s="107"/>
      <c r="U162" s="107"/>
      <c r="V162" s="107"/>
      <c r="W162" s="107"/>
      <c r="X162" s="107"/>
      <c r="Y162" s="107"/>
      <c r="Z162" s="107"/>
      <c r="AA162" s="108"/>
      <c r="AB162" s="104"/>
      <c r="AC162" s="104"/>
      <c r="AD162" s="104"/>
    </row>
    <row r="163" spans="1:30" ht="204">
      <c r="A163" s="147"/>
      <c r="B163" s="83" t="s">
        <v>1803</v>
      </c>
      <c r="C163" s="128"/>
      <c r="D163" s="142"/>
      <c r="E163" s="128"/>
      <c r="F163" s="128"/>
      <c r="G163" s="139" t="s">
        <v>188</v>
      </c>
      <c r="H163" s="128"/>
      <c r="I163" s="128"/>
      <c r="J163" s="128"/>
      <c r="K163" s="149"/>
      <c r="L163" s="107"/>
      <c r="M163" s="105"/>
      <c r="N163" s="107"/>
      <c r="O163" s="107"/>
      <c r="P163" s="107"/>
      <c r="Q163" s="107"/>
      <c r="R163" s="107"/>
      <c r="S163" s="107"/>
      <c r="T163" s="107"/>
      <c r="U163" s="107"/>
      <c r="V163" s="107"/>
      <c r="W163" s="107"/>
      <c r="X163" s="107"/>
      <c r="Y163" s="107"/>
      <c r="Z163" s="107"/>
      <c r="AA163" s="108"/>
      <c r="AB163" s="104"/>
      <c r="AC163" s="104"/>
      <c r="AD163" s="104"/>
    </row>
    <row r="164" spans="1:30" ht="51">
      <c r="A164" s="141" t="s">
        <v>291</v>
      </c>
      <c r="B164" s="83" t="s">
        <v>1297</v>
      </c>
      <c r="C164" s="83" t="s">
        <v>1270</v>
      </c>
      <c r="D164" s="142"/>
      <c r="E164" s="83" t="s">
        <v>1298</v>
      </c>
      <c r="F164" s="83" t="s">
        <v>1299</v>
      </c>
      <c r="G164" s="139" t="s">
        <v>188</v>
      </c>
      <c r="H164" s="128"/>
      <c r="I164" s="128"/>
      <c r="J164" s="128"/>
      <c r="K164" s="149"/>
      <c r="L164" s="107"/>
      <c r="M164" s="140"/>
      <c r="N164" s="107"/>
      <c r="O164" s="107"/>
      <c r="P164" s="107"/>
      <c r="Q164" s="107"/>
      <c r="R164" s="107"/>
      <c r="S164" s="107"/>
      <c r="T164" s="107"/>
      <c r="U164" s="107"/>
      <c r="V164" s="107"/>
      <c r="W164" s="107"/>
      <c r="X164" s="107"/>
      <c r="Y164" s="107"/>
      <c r="Z164" s="107"/>
      <c r="AA164" s="108"/>
      <c r="AB164" s="104"/>
      <c r="AC164" s="104"/>
      <c r="AD164" s="104"/>
    </row>
    <row r="165" spans="1:30" ht="12.75">
      <c r="A165" s="268" t="s">
        <v>292</v>
      </c>
      <c r="B165" s="237"/>
      <c r="C165" s="237"/>
      <c r="D165" s="237"/>
      <c r="E165" s="237"/>
      <c r="F165" s="237"/>
      <c r="G165" s="237"/>
      <c r="H165" s="237"/>
      <c r="I165" s="237"/>
      <c r="J165" s="238"/>
      <c r="K165" s="148"/>
      <c r="L165" s="107"/>
      <c r="M165" s="107"/>
      <c r="N165" s="107"/>
      <c r="O165" s="107"/>
      <c r="P165" s="107"/>
      <c r="Q165" s="107"/>
      <c r="R165" s="107"/>
      <c r="S165" s="107"/>
      <c r="T165" s="107"/>
      <c r="U165" s="107"/>
      <c r="V165" s="107"/>
      <c r="W165" s="107"/>
      <c r="X165" s="107"/>
      <c r="Y165" s="107"/>
      <c r="Z165" s="107"/>
      <c r="AA165" s="108"/>
      <c r="AB165" s="104"/>
      <c r="AC165" s="104"/>
      <c r="AD165" s="104"/>
    </row>
    <row r="166" spans="1:30" ht="51">
      <c r="A166" s="141" t="s">
        <v>1300</v>
      </c>
      <c r="B166" s="83" t="s">
        <v>1301</v>
      </c>
      <c r="C166" s="83" t="s">
        <v>1270</v>
      </c>
      <c r="D166" s="142"/>
      <c r="E166" s="83" t="s">
        <v>1302</v>
      </c>
      <c r="F166" s="83" t="s">
        <v>294</v>
      </c>
      <c r="G166" s="139" t="s">
        <v>188</v>
      </c>
      <c r="H166" s="128"/>
      <c r="I166" s="128"/>
      <c r="J166" s="128"/>
      <c r="K166" s="149"/>
      <c r="L166" s="107"/>
      <c r="M166" s="140"/>
      <c r="N166" s="107"/>
      <c r="O166" s="107"/>
      <c r="P166" s="107"/>
      <c r="Q166" s="107"/>
      <c r="R166" s="107"/>
      <c r="S166" s="107"/>
      <c r="T166" s="107"/>
      <c r="U166" s="107"/>
      <c r="V166" s="107"/>
      <c r="W166" s="107"/>
      <c r="X166" s="107"/>
      <c r="Y166" s="107"/>
      <c r="Z166" s="107"/>
      <c r="AA166" s="108"/>
      <c r="AB166" s="104"/>
      <c r="AC166" s="104"/>
      <c r="AD166" s="104"/>
    </row>
    <row r="167" spans="1:30" ht="178.5">
      <c r="A167" s="147"/>
      <c r="B167" s="83" t="s">
        <v>1802</v>
      </c>
      <c r="C167" s="128"/>
      <c r="D167" s="142"/>
      <c r="E167" s="128"/>
      <c r="F167" s="128"/>
      <c r="G167" s="139" t="s">
        <v>188</v>
      </c>
      <c r="H167" s="128"/>
      <c r="I167" s="128"/>
      <c r="J167" s="128"/>
      <c r="K167" s="149"/>
      <c r="L167" s="107"/>
      <c r="M167" s="105"/>
      <c r="N167" s="107"/>
      <c r="O167" s="107"/>
      <c r="P167" s="107"/>
      <c r="Q167" s="107"/>
      <c r="R167" s="107"/>
      <c r="S167" s="107"/>
      <c r="T167" s="107"/>
      <c r="U167" s="107"/>
      <c r="V167" s="107"/>
      <c r="W167" s="107"/>
      <c r="X167" s="107"/>
      <c r="Y167" s="107"/>
      <c r="Z167" s="107"/>
      <c r="AA167" s="108"/>
      <c r="AB167" s="104"/>
      <c r="AC167" s="104"/>
      <c r="AD167" s="104"/>
    </row>
    <row r="168" spans="1:30" ht="38.25">
      <c r="A168" s="141" t="s">
        <v>295</v>
      </c>
      <c r="B168" s="83" t="s">
        <v>262</v>
      </c>
      <c r="C168" s="83" t="s">
        <v>1270</v>
      </c>
      <c r="D168" s="142"/>
      <c r="E168" s="83" t="s">
        <v>1806</v>
      </c>
      <c r="F168" s="83" t="s">
        <v>296</v>
      </c>
      <c r="G168" s="139" t="s">
        <v>188</v>
      </c>
      <c r="H168" s="83"/>
      <c r="I168" s="128"/>
      <c r="J168" s="128"/>
      <c r="K168" s="149"/>
      <c r="L168" s="107"/>
      <c r="M168" s="140"/>
      <c r="N168" s="107"/>
      <c r="O168" s="107"/>
      <c r="P168" s="107"/>
      <c r="Q168" s="107"/>
      <c r="R168" s="107"/>
      <c r="S168" s="107"/>
      <c r="T168" s="107"/>
      <c r="U168" s="107"/>
      <c r="V168" s="107"/>
      <c r="W168" s="107"/>
      <c r="X168" s="107"/>
      <c r="Y168" s="107"/>
      <c r="Z168" s="107"/>
      <c r="AA168" s="108"/>
      <c r="AB168" s="104"/>
      <c r="AC168" s="104"/>
      <c r="AD168" s="104"/>
    </row>
    <row r="169" spans="1:30" ht="102">
      <c r="A169" s="141" t="s">
        <v>297</v>
      </c>
      <c r="B169" s="83" t="s">
        <v>264</v>
      </c>
      <c r="C169" s="83" t="s">
        <v>1270</v>
      </c>
      <c r="D169" s="142"/>
      <c r="E169" s="83" t="s">
        <v>1807</v>
      </c>
      <c r="F169" s="83" t="s">
        <v>1303</v>
      </c>
      <c r="G169" s="139" t="s">
        <v>188</v>
      </c>
      <c r="H169" s="83"/>
      <c r="I169" s="128"/>
      <c r="J169" s="128"/>
      <c r="K169" s="149"/>
      <c r="L169" s="107"/>
      <c r="M169" s="140"/>
      <c r="N169" s="107"/>
      <c r="O169" s="107"/>
      <c r="P169" s="107"/>
      <c r="Q169" s="107"/>
      <c r="R169" s="107"/>
      <c r="S169" s="107"/>
      <c r="T169" s="107"/>
      <c r="U169" s="107"/>
      <c r="V169" s="107"/>
      <c r="W169" s="107"/>
      <c r="X169" s="107"/>
      <c r="Y169" s="107"/>
      <c r="Z169" s="107"/>
      <c r="AA169" s="108"/>
      <c r="AB169" s="104"/>
      <c r="AC169" s="104"/>
      <c r="AD169" s="104"/>
    </row>
    <row r="170" spans="1:30" ht="76.5">
      <c r="A170" s="141" t="s">
        <v>298</v>
      </c>
      <c r="B170" s="83" t="s">
        <v>268</v>
      </c>
      <c r="C170" s="83" t="s">
        <v>1270</v>
      </c>
      <c r="D170" s="142"/>
      <c r="E170" s="83" t="s">
        <v>1304</v>
      </c>
      <c r="F170" s="83" t="s">
        <v>269</v>
      </c>
      <c r="G170" s="139" t="s">
        <v>188</v>
      </c>
      <c r="H170" s="128"/>
      <c r="I170" s="128"/>
      <c r="J170" s="128"/>
      <c r="K170" s="149"/>
      <c r="L170" s="107"/>
      <c r="M170" s="140"/>
      <c r="N170" s="107"/>
      <c r="O170" s="107"/>
      <c r="P170" s="107"/>
      <c r="Q170" s="107"/>
      <c r="R170" s="107"/>
      <c r="S170" s="107"/>
      <c r="T170" s="107"/>
      <c r="U170" s="107"/>
      <c r="V170" s="107"/>
      <c r="W170" s="107"/>
      <c r="X170" s="107"/>
      <c r="Y170" s="107"/>
      <c r="Z170" s="107"/>
      <c r="AA170" s="108"/>
      <c r="AB170" s="104"/>
      <c r="AC170" s="104"/>
      <c r="AD170" s="104"/>
    </row>
    <row r="171" spans="1:30" ht="51">
      <c r="A171" s="141" t="s">
        <v>299</v>
      </c>
      <c r="B171" s="83" t="s">
        <v>1305</v>
      </c>
      <c r="C171" s="83" t="s">
        <v>1270</v>
      </c>
      <c r="D171" s="142"/>
      <c r="E171" s="83" t="s">
        <v>1306</v>
      </c>
      <c r="F171" s="83" t="s">
        <v>1307</v>
      </c>
      <c r="G171" s="139" t="s">
        <v>188</v>
      </c>
      <c r="H171" s="152"/>
      <c r="I171" s="128"/>
      <c r="J171" s="128"/>
      <c r="K171" s="149"/>
      <c r="L171" s="107"/>
      <c r="M171" s="140"/>
      <c r="N171" s="107"/>
      <c r="O171" s="107"/>
      <c r="P171" s="107"/>
      <c r="Q171" s="107"/>
      <c r="R171" s="107"/>
      <c r="S171" s="107"/>
      <c r="T171" s="107"/>
      <c r="U171" s="107"/>
      <c r="V171" s="107"/>
      <c r="W171" s="107"/>
      <c r="X171" s="107"/>
      <c r="Y171" s="107"/>
      <c r="Z171" s="107"/>
      <c r="AA171" s="108"/>
      <c r="AB171" s="104"/>
      <c r="AC171" s="104"/>
      <c r="AD171" s="104"/>
    </row>
    <row r="172" spans="1:30" ht="89.25">
      <c r="A172" s="141" t="s">
        <v>300</v>
      </c>
      <c r="B172" s="83" t="s">
        <v>1290</v>
      </c>
      <c r="C172" s="83" t="s">
        <v>1270</v>
      </c>
      <c r="D172" s="142"/>
      <c r="E172" s="83" t="s">
        <v>1805</v>
      </c>
      <c r="F172" s="83" t="s">
        <v>301</v>
      </c>
      <c r="G172" s="139" t="s">
        <v>188</v>
      </c>
      <c r="H172" s="128"/>
      <c r="I172" s="128"/>
      <c r="J172" s="128"/>
      <c r="K172" s="149"/>
      <c r="L172" s="107"/>
      <c r="M172" s="140"/>
      <c r="N172" s="107"/>
      <c r="O172" s="107"/>
      <c r="P172" s="107"/>
      <c r="Q172" s="107"/>
      <c r="R172" s="107"/>
      <c r="S172" s="107"/>
      <c r="T172" s="107"/>
      <c r="U172" s="107"/>
      <c r="V172" s="107"/>
      <c r="W172" s="107"/>
      <c r="X172" s="107"/>
      <c r="Y172" s="107"/>
      <c r="Z172" s="107"/>
      <c r="AA172" s="108"/>
      <c r="AB172" s="104"/>
      <c r="AC172" s="104"/>
      <c r="AD172" s="104"/>
    </row>
    <row r="173" spans="1:30" ht="76.5">
      <c r="A173" s="147"/>
      <c r="B173" s="83" t="s">
        <v>1308</v>
      </c>
      <c r="C173" s="83" t="s">
        <v>1270</v>
      </c>
      <c r="D173" s="142"/>
      <c r="E173" s="83" t="s">
        <v>1293</v>
      </c>
      <c r="F173" s="83" t="s">
        <v>1309</v>
      </c>
      <c r="G173" s="139" t="s">
        <v>188</v>
      </c>
      <c r="H173" s="128"/>
      <c r="I173" s="128"/>
      <c r="J173" s="128"/>
      <c r="K173" s="149"/>
      <c r="L173" s="107"/>
      <c r="M173" s="140"/>
      <c r="N173" s="107"/>
      <c r="O173" s="107"/>
      <c r="P173" s="107"/>
      <c r="Q173" s="107"/>
      <c r="R173" s="107"/>
      <c r="S173" s="107"/>
      <c r="T173" s="107"/>
      <c r="U173" s="107"/>
      <c r="V173" s="107"/>
      <c r="W173" s="107"/>
      <c r="X173" s="107"/>
      <c r="Y173" s="107"/>
      <c r="Z173" s="107"/>
      <c r="AA173" s="108"/>
      <c r="AB173" s="104"/>
      <c r="AC173" s="104"/>
      <c r="AD173" s="104"/>
    </row>
    <row r="174" spans="1:30" ht="38.25">
      <c r="A174" s="147"/>
      <c r="B174" s="83" t="s">
        <v>1295</v>
      </c>
      <c r="C174" s="83" t="s">
        <v>1270</v>
      </c>
      <c r="D174" s="142"/>
      <c r="E174" s="83" t="s">
        <v>1296</v>
      </c>
      <c r="F174" s="83" t="s">
        <v>302</v>
      </c>
      <c r="G174" s="139" t="s">
        <v>188</v>
      </c>
      <c r="H174" s="128"/>
      <c r="I174" s="128"/>
      <c r="J174" s="128"/>
      <c r="K174" s="149"/>
      <c r="L174" s="107"/>
      <c r="M174" s="140"/>
      <c r="N174" s="107"/>
      <c r="O174" s="107"/>
      <c r="P174" s="107"/>
      <c r="Q174" s="107"/>
      <c r="R174" s="107"/>
      <c r="S174" s="107"/>
      <c r="T174" s="107"/>
      <c r="U174" s="107"/>
      <c r="V174" s="107"/>
      <c r="W174" s="107"/>
      <c r="X174" s="107"/>
      <c r="Y174" s="107"/>
      <c r="Z174" s="107"/>
      <c r="AA174" s="108"/>
      <c r="AB174" s="104"/>
      <c r="AC174" s="104"/>
      <c r="AD174" s="104"/>
    </row>
    <row r="175" spans="1:30" ht="204">
      <c r="A175" s="147"/>
      <c r="B175" s="83" t="s">
        <v>1803</v>
      </c>
      <c r="C175" s="128"/>
      <c r="D175" s="142"/>
      <c r="E175" s="128"/>
      <c r="F175" s="128"/>
      <c r="G175" s="139" t="s">
        <v>188</v>
      </c>
      <c r="H175" s="128"/>
      <c r="I175" s="128"/>
      <c r="J175" s="128"/>
      <c r="K175" s="149"/>
      <c r="L175" s="107"/>
      <c r="M175" s="105"/>
      <c r="N175" s="107"/>
      <c r="O175" s="107"/>
      <c r="P175" s="107"/>
      <c r="Q175" s="107"/>
      <c r="R175" s="107"/>
      <c r="S175" s="107"/>
      <c r="T175" s="107"/>
      <c r="U175" s="107"/>
      <c r="V175" s="107"/>
      <c r="W175" s="107"/>
      <c r="X175" s="107"/>
      <c r="Y175" s="107"/>
      <c r="Z175" s="107"/>
      <c r="AA175" s="108"/>
      <c r="AB175" s="104"/>
      <c r="AC175" s="104"/>
      <c r="AD175" s="104"/>
    </row>
    <row r="176" spans="1:30" ht="63.75">
      <c r="A176" s="141" t="s">
        <v>303</v>
      </c>
      <c r="B176" s="83" t="s">
        <v>1310</v>
      </c>
      <c r="C176" s="83" t="s">
        <v>1270</v>
      </c>
      <c r="D176" s="142"/>
      <c r="E176" s="83" t="s">
        <v>1298</v>
      </c>
      <c r="F176" s="83" t="s">
        <v>304</v>
      </c>
      <c r="G176" s="139" t="s">
        <v>188</v>
      </c>
      <c r="H176" s="128"/>
      <c r="I176" s="128"/>
      <c r="J176" s="128"/>
      <c r="K176" s="149"/>
      <c r="L176" s="107"/>
      <c r="M176" s="140"/>
      <c r="N176" s="107"/>
      <c r="O176" s="107"/>
      <c r="P176" s="107"/>
      <c r="Q176" s="107"/>
      <c r="R176" s="107"/>
      <c r="S176" s="107"/>
      <c r="T176" s="107"/>
      <c r="U176" s="107"/>
      <c r="V176" s="107"/>
      <c r="W176" s="107"/>
      <c r="X176" s="107"/>
      <c r="Y176" s="107"/>
      <c r="Z176" s="107"/>
      <c r="AA176" s="108"/>
      <c r="AB176" s="104"/>
      <c r="AC176" s="104"/>
      <c r="AD176" s="104"/>
    </row>
    <row r="177" spans="1:30" ht="12.75">
      <c r="A177" s="268" t="s">
        <v>305</v>
      </c>
      <c r="B177" s="237"/>
      <c r="C177" s="237"/>
      <c r="D177" s="237"/>
      <c r="E177" s="237"/>
      <c r="F177" s="237"/>
      <c r="G177" s="237"/>
      <c r="H177" s="237"/>
      <c r="I177" s="237"/>
      <c r="J177" s="238"/>
      <c r="K177" s="148"/>
      <c r="L177" s="107"/>
      <c r="M177" s="107"/>
      <c r="N177" s="107"/>
      <c r="O177" s="107"/>
      <c r="P177" s="107"/>
      <c r="Q177" s="107"/>
      <c r="R177" s="107"/>
      <c r="S177" s="107"/>
      <c r="T177" s="107"/>
      <c r="U177" s="107"/>
      <c r="V177" s="107"/>
      <c r="W177" s="107"/>
      <c r="X177" s="107"/>
      <c r="Y177" s="107"/>
      <c r="Z177" s="107"/>
      <c r="AA177" s="108"/>
      <c r="AB177" s="104"/>
      <c r="AC177" s="104"/>
      <c r="AD177" s="104"/>
    </row>
    <row r="178" spans="1:30" ht="51">
      <c r="A178" s="141" t="s">
        <v>1311</v>
      </c>
      <c r="B178" s="83" t="s">
        <v>1312</v>
      </c>
      <c r="C178" s="83" t="s">
        <v>1270</v>
      </c>
      <c r="D178" s="142"/>
      <c r="E178" s="83" t="s">
        <v>1313</v>
      </c>
      <c r="F178" s="83" t="s">
        <v>293</v>
      </c>
      <c r="G178" s="139" t="s">
        <v>188</v>
      </c>
      <c r="H178" s="128"/>
      <c r="I178" s="128"/>
      <c r="J178" s="128"/>
      <c r="K178" s="149"/>
      <c r="L178" s="107"/>
      <c r="M178" s="140"/>
      <c r="N178" s="107"/>
      <c r="O178" s="107"/>
      <c r="P178" s="107"/>
      <c r="Q178" s="107"/>
      <c r="R178" s="107"/>
      <c r="S178" s="107"/>
      <c r="T178" s="107"/>
      <c r="U178" s="107"/>
      <c r="V178" s="107"/>
      <c r="W178" s="107"/>
      <c r="X178" s="107"/>
      <c r="Y178" s="107"/>
      <c r="Z178" s="107"/>
      <c r="AA178" s="108"/>
      <c r="AB178" s="104"/>
      <c r="AC178" s="104"/>
      <c r="AD178" s="104"/>
    </row>
    <row r="179" spans="1:30" ht="178.5">
      <c r="A179" s="147"/>
      <c r="B179" s="83" t="s">
        <v>1802</v>
      </c>
      <c r="C179" s="128"/>
      <c r="D179" s="142"/>
      <c r="E179" s="128"/>
      <c r="F179" s="128"/>
      <c r="G179" s="139" t="s">
        <v>188</v>
      </c>
      <c r="H179" s="128"/>
      <c r="I179" s="128"/>
      <c r="J179" s="128"/>
      <c r="K179" s="149"/>
      <c r="L179" s="107"/>
      <c r="M179" s="105"/>
      <c r="N179" s="107"/>
      <c r="O179" s="107"/>
      <c r="P179" s="107"/>
      <c r="Q179" s="107"/>
      <c r="R179" s="107"/>
      <c r="S179" s="107"/>
      <c r="T179" s="107"/>
      <c r="U179" s="107"/>
      <c r="V179" s="107"/>
      <c r="W179" s="107"/>
      <c r="X179" s="107"/>
      <c r="Y179" s="107"/>
      <c r="Z179" s="107"/>
      <c r="AA179" s="108"/>
      <c r="AB179" s="104"/>
      <c r="AC179" s="104"/>
      <c r="AD179" s="104"/>
    </row>
    <row r="180" spans="1:30" ht="89.25">
      <c r="A180" s="141" t="s">
        <v>1314</v>
      </c>
      <c r="B180" s="83" t="s">
        <v>1315</v>
      </c>
      <c r="C180" s="83" t="s">
        <v>1270</v>
      </c>
      <c r="D180" s="142"/>
      <c r="E180" s="83" t="s">
        <v>1277</v>
      </c>
      <c r="F180" s="83" t="s">
        <v>283</v>
      </c>
      <c r="G180" s="139" t="s">
        <v>188</v>
      </c>
      <c r="H180" s="128"/>
      <c r="I180" s="128"/>
      <c r="J180" s="128"/>
      <c r="K180" s="149"/>
      <c r="L180" s="107"/>
      <c r="M180" s="140"/>
      <c r="N180" s="107"/>
      <c r="O180" s="107"/>
      <c r="P180" s="107"/>
      <c r="Q180" s="107"/>
      <c r="R180" s="107"/>
      <c r="S180" s="107"/>
      <c r="T180" s="107"/>
      <c r="U180" s="107"/>
      <c r="V180" s="107"/>
      <c r="W180" s="107"/>
      <c r="X180" s="107"/>
      <c r="Y180" s="107"/>
      <c r="Z180" s="107"/>
      <c r="AA180" s="108"/>
      <c r="AB180" s="104"/>
      <c r="AC180" s="104"/>
      <c r="AD180" s="104"/>
    </row>
    <row r="181" spans="1:30" ht="38.25">
      <c r="A181" s="141" t="s">
        <v>1316</v>
      </c>
      <c r="B181" s="83" t="s">
        <v>1317</v>
      </c>
      <c r="C181" s="83" t="s">
        <v>1270</v>
      </c>
      <c r="D181" s="142"/>
      <c r="E181" s="83" t="s">
        <v>1806</v>
      </c>
      <c r="F181" s="83" t="s">
        <v>296</v>
      </c>
      <c r="G181" s="139" t="s">
        <v>188</v>
      </c>
      <c r="H181" s="128"/>
      <c r="I181" s="128"/>
      <c r="J181" s="128"/>
      <c r="K181" s="149"/>
      <c r="L181" s="107"/>
      <c r="M181" s="140"/>
      <c r="N181" s="107"/>
      <c r="O181" s="107"/>
      <c r="P181" s="107"/>
      <c r="Q181" s="107"/>
      <c r="R181" s="107"/>
      <c r="S181" s="107"/>
      <c r="T181" s="107"/>
      <c r="U181" s="107"/>
      <c r="V181" s="107"/>
      <c r="W181" s="107"/>
      <c r="X181" s="107"/>
      <c r="Y181" s="107"/>
      <c r="Z181" s="107"/>
      <c r="AA181" s="108"/>
      <c r="AB181" s="104"/>
      <c r="AC181" s="104"/>
      <c r="AD181" s="104"/>
    </row>
    <row r="182" spans="1:30" ht="38.25">
      <c r="A182" s="141" t="s">
        <v>1318</v>
      </c>
      <c r="B182" s="83" t="s">
        <v>1319</v>
      </c>
      <c r="C182" s="83" t="s">
        <v>1270</v>
      </c>
      <c r="D182" s="142"/>
      <c r="E182" s="83" t="s">
        <v>1306</v>
      </c>
      <c r="F182" s="83" t="s">
        <v>1307</v>
      </c>
      <c r="G182" s="139" t="s">
        <v>188</v>
      </c>
      <c r="H182" s="83"/>
      <c r="I182" s="128"/>
      <c r="J182" s="128"/>
      <c r="K182" s="149"/>
      <c r="L182" s="107"/>
      <c r="M182" s="140"/>
      <c r="N182" s="107"/>
      <c r="O182" s="107"/>
      <c r="P182" s="107"/>
      <c r="Q182" s="107"/>
      <c r="R182" s="107"/>
      <c r="S182" s="107"/>
      <c r="T182" s="107"/>
      <c r="U182" s="107"/>
      <c r="V182" s="107"/>
      <c r="W182" s="107"/>
      <c r="X182" s="107"/>
      <c r="Y182" s="107"/>
      <c r="Z182" s="107"/>
      <c r="AA182" s="108"/>
      <c r="AB182" s="104"/>
      <c r="AC182" s="104"/>
      <c r="AD182" s="104"/>
    </row>
    <row r="183" spans="1:30" ht="89.25">
      <c r="A183" s="141" t="s">
        <v>1320</v>
      </c>
      <c r="B183" s="83" t="s">
        <v>1321</v>
      </c>
      <c r="C183" s="83" t="s">
        <v>1270</v>
      </c>
      <c r="D183" s="142"/>
      <c r="E183" s="83" t="s">
        <v>1805</v>
      </c>
      <c r="F183" s="83" t="s">
        <v>301</v>
      </c>
      <c r="G183" s="139" t="s">
        <v>188</v>
      </c>
      <c r="H183" s="128"/>
      <c r="I183" s="128"/>
      <c r="J183" s="128"/>
      <c r="K183" s="149"/>
      <c r="L183" s="107"/>
      <c r="M183" s="140"/>
      <c r="N183" s="107"/>
      <c r="O183" s="107"/>
      <c r="P183" s="107"/>
      <c r="Q183" s="107"/>
      <c r="R183" s="107"/>
      <c r="S183" s="107"/>
      <c r="T183" s="107"/>
      <c r="U183" s="107"/>
      <c r="V183" s="107"/>
      <c r="W183" s="107"/>
      <c r="X183" s="107"/>
      <c r="Y183" s="107"/>
      <c r="Z183" s="107"/>
      <c r="AA183" s="108"/>
      <c r="AB183" s="104"/>
      <c r="AC183" s="104"/>
      <c r="AD183" s="104"/>
    </row>
    <row r="184" spans="1:30" ht="204">
      <c r="A184" s="147"/>
      <c r="B184" s="83" t="s">
        <v>1803</v>
      </c>
      <c r="C184" s="128"/>
      <c r="D184" s="142"/>
      <c r="E184" s="128"/>
      <c r="F184" s="128"/>
      <c r="G184" s="139" t="s">
        <v>188</v>
      </c>
      <c r="H184" s="83"/>
      <c r="I184" s="128"/>
      <c r="J184" s="128"/>
      <c r="K184" s="149"/>
      <c r="L184" s="107"/>
      <c r="M184" s="105"/>
      <c r="N184" s="107"/>
      <c r="O184" s="107"/>
      <c r="P184" s="107"/>
      <c r="Q184" s="107"/>
      <c r="R184" s="107"/>
      <c r="S184" s="107"/>
      <c r="T184" s="107"/>
      <c r="U184" s="107"/>
      <c r="V184" s="107"/>
      <c r="W184" s="107"/>
      <c r="X184" s="107"/>
      <c r="Y184" s="107"/>
      <c r="Z184" s="107"/>
      <c r="AA184" s="108"/>
      <c r="AB184" s="104"/>
      <c r="AC184" s="104"/>
      <c r="AD184" s="104"/>
    </row>
    <row r="185" spans="1:30" ht="76.5">
      <c r="A185" s="141" t="s">
        <v>1322</v>
      </c>
      <c r="B185" s="83" t="s">
        <v>1323</v>
      </c>
      <c r="C185" s="83" t="s">
        <v>1270</v>
      </c>
      <c r="D185" s="142"/>
      <c r="E185" s="83" t="s">
        <v>1298</v>
      </c>
      <c r="F185" s="83" t="s">
        <v>306</v>
      </c>
      <c r="G185" s="139" t="s">
        <v>188</v>
      </c>
      <c r="H185" s="128"/>
      <c r="I185" s="128"/>
      <c r="J185" s="128"/>
      <c r="K185" s="149"/>
      <c r="L185" s="107"/>
      <c r="M185" s="140"/>
      <c r="N185" s="107"/>
      <c r="O185" s="107"/>
      <c r="P185" s="107"/>
      <c r="Q185" s="107"/>
      <c r="R185" s="107"/>
      <c r="S185" s="107"/>
      <c r="T185" s="107"/>
      <c r="U185" s="107"/>
      <c r="V185" s="107"/>
      <c r="W185" s="107"/>
      <c r="X185" s="107"/>
      <c r="Y185" s="107"/>
      <c r="Z185" s="107"/>
      <c r="AA185" s="108"/>
      <c r="AB185" s="104"/>
      <c r="AC185" s="104"/>
      <c r="AD185" s="104"/>
    </row>
    <row r="186" spans="1:30" ht="12.75">
      <c r="A186" s="268" t="s">
        <v>307</v>
      </c>
      <c r="B186" s="237"/>
      <c r="C186" s="237"/>
      <c r="D186" s="237"/>
      <c r="E186" s="237"/>
      <c r="F186" s="237"/>
      <c r="G186" s="237"/>
      <c r="H186" s="237"/>
      <c r="I186" s="237"/>
      <c r="J186" s="238"/>
      <c r="K186" s="148"/>
      <c r="L186" s="107"/>
      <c r="M186" s="107"/>
      <c r="N186" s="107"/>
      <c r="O186" s="107"/>
      <c r="P186" s="107"/>
      <c r="Q186" s="107"/>
      <c r="R186" s="107"/>
      <c r="S186" s="107"/>
      <c r="T186" s="107"/>
      <c r="U186" s="107"/>
      <c r="V186" s="107"/>
      <c r="W186" s="107"/>
      <c r="X186" s="107"/>
      <c r="Y186" s="107"/>
      <c r="Z186" s="107"/>
      <c r="AA186" s="108"/>
      <c r="AB186" s="104"/>
      <c r="AC186" s="104"/>
      <c r="AD186" s="104"/>
    </row>
    <row r="187" spans="1:30" ht="38.25">
      <c r="A187" s="147"/>
      <c r="B187" s="83" t="s">
        <v>1324</v>
      </c>
      <c r="C187" s="83" t="s">
        <v>1270</v>
      </c>
      <c r="D187" s="142"/>
      <c r="E187" s="83" t="s">
        <v>1325</v>
      </c>
      <c r="F187" s="83" t="s">
        <v>1326</v>
      </c>
      <c r="G187" s="139" t="s">
        <v>188</v>
      </c>
      <c r="H187" s="128"/>
      <c r="I187" s="128"/>
      <c r="J187" s="128"/>
      <c r="K187" s="149"/>
      <c r="L187" s="107"/>
      <c r="M187" s="140"/>
      <c r="N187" s="107"/>
      <c r="O187" s="107"/>
      <c r="P187" s="107"/>
      <c r="Q187" s="107"/>
      <c r="R187" s="107"/>
      <c r="S187" s="107"/>
      <c r="T187" s="107"/>
      <c r="U187" s="107"/>
      <c r="V187" s="107"/>
      <c r="W187" s="107"/>
      <c r="X187" s="107"/>
      <c r="Y187" s="107"/>
      <c r="Z187" s="107"/>
      <c r="AA187" s="108"/>
      <c r="AB187" s="104"/>
      <c r="AC187" s="104"/>
      <c r="AD187" s="104"/>
    </row>
    <row r="188" spans="1:30" ht="178.5">
      <c r="A188" s="147"/>
      <c r="B188" s="83" t="s">
        <v>1802</v>
      </c>
      <c r="C188" s="128"/>
      <c r="D188" s="142"/>
      <c r="E188" s="128"/>
      <c r="F188" s="128"/>
      <c r="G188" s="139" t="s">
        <v>188</v>
      </c>
      <c r="H188" s="128"/>
      <c r="I188" s="128"/>
      <c r="J188" s="128"/>
      <c r="K188" s="149"/>
      <c r="L188" s="107"/>
      <c r="M188" s="105"/>
      <c r="N188" s="107"/>
      <c r="O188" s="107"/>
      <c r="P188" s="107"/>
      <c r="Q188" s="107"/>
      <c r="R188" s="107"/>
      <c r="S188" s="107"/>
      <c r="T188" s="107"/>
      <c r="U188" s="107"/>
      <c r="V188" s="107"/>
      <c r="W188" s="107"/>
      <c r="X188" s="107"/>
      <c r="Y188" s="107"/>
      <c r="Z188" s="107"/>
      <c r="AA188" s="108"/>
      <c r="AB188" s="104"/>
      <c r="AC188" s="104"/>
      <c r="AD188" s="104"/>
    </row>
    <row r="189" spans="1:30" ht="38.25">
      <c r="A189" s="147"/>
      <c r="B189" s="83" t="s">
        <v>1327</v>
      </c>
      <c r="C189" s="83" t="s">
        <v>1270</v>
      </c>
      <c r="D189" s="142"/>
      <c r="E189" s="83" t="s">
        <v>1806</v>
      </c>
      <c r="F189" s="83" t="s">
        <v>263</v>
      </c>
      <c r="G189" s="139" t="s">
        <v>188</v>
      </c>
      <c r="H189" s="83"/>
      <c r="I189" s="128"/>
      <c r="J189" s="128"/>
      <c r="K189" s="149"/>
      <c r="L189" s="107"/>
      <c r="M189" s="140"/>
      <c r="N189" s="107"/>
      <c r="O189" s="107"/>
      <c r="P189" s="107"/>
      <c r="Q189" s="107"/>
      <c r="R189" s="107"/>
      <c r="S189" s="107"/>
      <c r="T189" s="107"/>
      <c r="U189" s="107"/>
      <c r="V189" s="107"/>
      <c r="W189" s="107"/>
      <c r="X189" s="107"/>
      <c r="Y189" s="107"/>
      <c r="Z189" s="107"/>
      <c r="AA189" s="108"/>
      <c r="AB189" s="104"/>
      <c r="AC189" s="104"/>
      <c r="AD189" s="104"/>
    </row>
    <row r="190" spans="1:30" ht="38.25">
      <c r="A190" s="147"/>
      <c r="B190" s="83" t="s">
        <v>1328</v>
      </c>
      <c r="C190" s="83" t="s">
        <v>1270</v>
      </c>
      <c r="D190" s="142"/>
      <c r="E190" s="83" t="s">
        <v>1808</v>
      </c>
      <c r="F190" s="83" t="s">
        <v>308</v>
      </c>
      <c r="G190" s="139" t="s">
        <v>188</v>
      </c>
      <c r="H190" s="128"/>
      <c r="I190" s="128"/>
      <c r="J190" s="128"/>
      <c r="K190" s="149"/>
      <c r="L190" s="107"/>
      <c r="M190" s="140"/>
      <c r="N190" s="107"/>
      <c r="O190" s="107"/>
      <c r="P190" s="107"/>
      <c r="Q190" s="107"/>
      <c r="R190" s="107"/>
      <c r="S190" s="107"/>
      <c r="T190" s="107"/>
      <c r="U190" s="107"/>
      <c r="V190" s="107"/>
      <c r="W190" s="107"/>
      <c r="X190" s="107"/>
      <c r="Y190" s="107"/>
      <c r="Z190" s="107"/>
      <c r="AA190" s="108"/>
      <c r="AB190" s="104"/>
      <c r="AC190" s="104"/>
      <c r="AD190" s="104"/>
    </row>
    <row r="191" spans="1:30" ht="63.75">
      <c r="A191" s="147"/>
      <c r="B191" s="83" t="s">
        <v>1329</v>
      </c>
      <c r="C191" s="83" t="s">
        <v>1330</v>
      </c>
      <c r="D191" s="142"/>
      <c r="E191" s="83" t="s">
        <v>1331</v>
      </c>
      <c r="F191" s="83" t="s">
        <v>309</v>
      </c>
      <c r="G191" s="139" t="s">
        <v>188</v>
      </c>
      <c r="H191" s="83"/>
      <c r="I191" s="128"/>
      <c r="J191" s="128"/>
      <c r="K191" s="149"/>
      <c r="L191" s="107"/>
      <c r="M191" s="140"/>
      <c r="N191" s="107"/>
      <c r="O191" s="107"/>
      <c r="P191" s="107"/>
      <c r="Q191" s="107"/>
      <c r="R191" s="107"/>
      <c r="S191" s="107"/>
      <c r="T191" s="107"/>
      <c r="U191" s="107"/>
      <c r="V191" s="107"/>
      <c r="W191" s="107"/>
      <c r="X191" s="107"/>
      <c r="Y191" s="107"/>
      <c r="Z191" s="107"/>
      <c r="AA191" s="108"/>
      <c r="AB191" s="104"/>
      <c r="AC191" s="104"/>
      <c r="AD191" s="104"/>
    </row>
    <row r="192" spans="1:30" ht="63.75">
      <c r="A192" s="147"/>
      <c r="B192" s="83" t="s">
        <v>1332</v>
      </c>
      <c r="C192" s="83" t="s">
        <v>1330</v>
      </c>
      <c r="D192" s="142"/>
      <c r="E192" s="83" t="s">
        <v>1333</v>
      </c>
      <c r="F192" s="83" t="s">
        <v>310</v>
      </c>
      <c r="G192" s="139" t="s">
        <v>188</v>
      </c>
      <c r="H192" s="128"/>
      <c r="I192" s="128"/>
      <c r="J192" s="128"/>
      <c r="K192" s="149"/>
      <c r="L192" s="107"/>
      <c r="M192" s="140"/>
      <c r="N192" s="107"/>
      <c r="O192" s="107"/>
      <c r="P192" s="107"/>
      <c r="Q192" s="107"/>
      <c r="R192" s="107"/>
      <c r="S192" s="107"/>
      <c r="T192" s="107"/>
      <c r="U192" s="107"/>
      <c r="V192" s="107"/>
      <c r="W192" s="107"/>
      <c r="X192" s="107"/>
      <c r="Y192" s="107"/>
      <c r="Z192" s="107"/>
      <c r="AA192" s="108"/>
      <c r="AB192" s="104"/>
      <c r="AC192" s="104"/>
      <c r="AD192" s="104"/>
    </row>
    <row r="193" spans="1:30" ht="204">
      <c r="A193" s="147"/>
      <c r="B193" s="83" t="s">
        <v>1803</v>
      </c>
      <c r="C193" s="128"/>
      <c r="D193" s="142"/>
      <c r="E193" s="128"/>
      <c r="F193" s="128"/>
      <c r="G193" s="139" t="s">
        <v>188</v>
      </c>
      <c r="H193" s="83"/>
      <c r="I193" s="128"/>
      <c r="J193" s="128"/>
      <c r="K193" s="149"/>
      <c r="L193" s="107"/>
      <c r="M193" s="105"/>
      <c r="N193" s="107"/>
      <c r="O193" s="107"/>
      <c r="P193" s="107"/>
      <c r="Q193" s="107"/>
      <c r="R193" s="107"/>
      <c r="S193" s="107"/>
      <c r="T193" s="107"/>
      <c r="U193" s="107"/>
      <c r="V193" s="107"/>
      <c r="W193" s="107"/>
      <c r="X193" s="107"/>
      <c r="Y193" s="107"/>
      <c r="Z193" s="107"/>
      <c r="AA193" s="108"/>
      <c r="AB193" s="104"/>
      <c r="AC193" s="104"/>
      <c r="AD193" s="104"/>
    </row>
    <row r="194" spans="1:30" ht="63.75">
      <c r="A194" s="147"/>
      <c r="B194" s="83" t="s">
        <v>1334</v>
      </c>
      <c r="C194" s="83" t="s">
        <v>1330</v>
      </c>
      <c r="D194" s="142"/>
      <c r="E194" s="83" t="s">
        <v>1809</v>
      </c>
      <c r="F194" s="83" t="s">
        <v>311</v>
      </c>
      <c r="G194" s="139" t="s">
        <v>188</v>
      </c>
      <c r="H194" s="128"/>
      <c r="I194" s="128"/>
      <c r="J194" s="128"/>
      <c r="K194" s="149"/>
      <c r="L194" s="107"/>
      <c r="M194" s="140"/>
      <c r="N194" s="107"/>
      <c r="O194" s="107"/>
      <c r="P194" s="107"/>
      <c r="Q194" s="107"/>
      <c r="R194" s="107"/>
      <c r="S194" s="107"/>
      <c r="T194" s="107"/>
      <c r="U194" s="107"/>
      <c r="V194" s="107"/>
      <c r="W194" s="107"/>
      <c r="X194" s="107"/>
      <c r="Y194" s="107"/>
      <c r="Z194" s="107"/>
      <c r="AA194" s="108"/>
      <c r="AB194" s="104"/>
      <c r="AC194" s="104"/>
      <c r="AD194" s="104"/>
    </row>
    <row r="195" spans="1:30" ht="63.75">
      <c r="A195" s="147"/>
      <c r="B195" s="83" t="s">
        <v>1335</v>
      </c>
      <c r="C195" s="83" t="s">
        <v>1270</v>
      </c>
      <c r="D195" s="142"/>
      <c r="E195" s="83" t="s">
        <v>1336</v>
      </c>
      <c r="F195" s="83" t="s">
        <v>1810</v>
      </c>
      <c r="G195" s="139" t="s">
        <v>188</v>
      </c>
      <c r="H195" s="128"/>
      <c r="I195" s="128"/>
      <c r="J195" s="128"/>
      <c r="K195" s="149"/>
      <c r="L195" s="107"/>
      <c r="M195" s="140"/>
      <c r="N195" s="107"/>
      <c r="O195" s="107"/>
      <c r="P195" s="107"/>
      <c r="Q195" s="107"/>
      <c r="R195" s="107"/>
      <c r="S195" s="107"/>
      <c r="T195" s="107"/>
      <c r="U195" s="107"/>
      <c r="V195" s="107"/>
      <c r="W195" s="107"/>
      <c r="X195" s="107"/>
      <c r="Y195" s="107"/>
      <c r="Z195" s="107"/>
      <c r="AA195" s="108"/>
      <c r="AB195" s="104"/>
      <c r="AC195" s="104"/>
      <c r="AD195" s="104"/>
    </row>
    <row r="196" spans="1:30" ht="76.5">
      <c r="A196" s="147"/>
      <c r="B196" s="83" t="s">
        <v>1337</v>
      </c>
      <c r="C196" s="83" t="s">
        <v>1330</v>
      </c>
      <c r="D196" s="142"/>
      <c r="E196" s="83" t="s">
        <v>1338</v>
      </c>
      <c r="F196" s="83" t="s">
        <v>1811</v>
      </c>
      <c r="G196" s="139" t="s">
        <v>188</v>
      </c>
      <c r="H196" s="83"/>
      <c r="I196" s="128"/>
      <c r="J196" s="128"/>
      <c r="K196" s="149"/>
      <c r="L196" s="107"/>
      <c r="M196" s="140"/>
      <c r="N196" s="107"/>
      <c r="O196" s="107"/>
      <c r="P196" s="107"/>
      <c r="Q196" s="107"/>
      <c r="R196" s="107"/>
      <c r="S196" s="107"/>
      <c r="T196" s="107"/>
      <c r="U196" s="107"/>
      <c r="V196" s="107"/>
      <c r="W196" s="107"/>
      <c r="X196" s="107"/>
      <c r="Y196" s="107"/>
      <c r="Z196" s="107"/>
      <c r="AA196" s="108"/>
      <c r="AB196" s="104"/>
      <c r="AC196" s="104"/>
      <c r="AD196" s="104"/>
    </row>
    <row r="197" spans="1:30" ht="12.75">
      <c r="A197" s="268" t="s">
        <v>312</v>
      </c>
      <c r="B197" s="237"/>
      <c r="C197" s="237"/>
      <c r="D197" s="237"/>
      <c r="E197" s="237"/>
      <c r="F197" s="237"/>
      <c r="G197" s="237"/>
      <c r="H197" s="237"/>
      <c r="I197" s="237"/>
      <c r="J197" s="238"/>
      <c r="K197" s="148"/>
      <c r="L197" s="107"/>
      <c r="M197" s="107"/>
      <c r="N197" s="107"/>
      <c r="O197" s="107"/>
      <c r="P197" s="107"/>
      <c r="Q197" s="107"/>
      <c r="R197" s="107"/>
      <c r="S197" s="107"/>
      <c r="T197" s="107"/>
      <c r="U197" s="107"/>
      <c r="V197" s="107"/>
      <c r="W197" s="107"/>
      <c r="X197" s="107"/>
      <c r="Y197" s="107"/>
      <c r="Z197" s="107"/>
      <c r="AA197" s="108"/>
      <c r="AB197" s="104"/>
      <c r="AC197" s="104"/>
      <c r="AD197" s="104"/>
    </row>
    <row r="198" spans="1:30" ht="51">
      <c r="A198" s="147"/>
      <c r="B198" s="83" t="s">
        <v>1339</v>
      </c>
      <c r="C198" s="83" t="s">
        <v>1270</v>
      </c>
      <c r="D198" s="142"/>
      <c r="E198" s="83" t="s">
        <v>1340</v>
      </c>
      <c r="F198" s="83" t="s">
        <v>1341</v>
      </c>
      <c r="G198" s="139" t="s">
        <v>188</v>
      </c>
      <c r="H198" s="128"/>
      <c r="I198" s="128"/>
      <c r="J198" s="128"/>
      <c r="K198" s="149"/>
      <c r="L198" s="107"/>
      <c r="M198" s="140"/>
      <c r="N198" s="107"/>
      <c r="O198" s="107"/>
      <c r="P198" s="107"/>
      <c r="Q198" s="107"/>
      <c r="R198" s="107"/>
      <c r="S198" s="107"/>
      <c r="T198" s="107"/>
      <c r="U198" s="107"/>
      <c r="V198" s="107"/>
      <c r="W198" s="107"/>
      <c r="X198" s="107"/>
      <c r="Y198" s="107"/>
      <c r="Z198" s="107"/>
      <c r="AA198" s="108"/>
      <c r="AB198" s="104"/>
      <c r="AC198" s="104"/>
      <c r="AD198" s="104"/>
    </row>
    <row r="199" spans="1:30" ht="178.5">
      <c r="A199" s="147"/>
      <c r="B199" s="83" t="s">
        <v>1802</v>
      </c>
      <c r="C199" s="128"/>
      <c r="D199" s="142"/>
      <c r="E199" s="128"/>
      <c r="F199" s="128"/>
      <c r="G199" s="139" t="s">
        <v>188</v>
      </c>
      <c r="H199" s="128"/>
      <c r="I199" s="128"/>
      <c r="J199" s="128"/>
      <c r="K199" s="149"/>
      <c r="L199" s="107"/>
      <c r="M199" s="105"/>
      <c r="N199" s="107"/>
      <c r="O199" s="107"/>
      <c r="P199" s="107"/>
      <c r="Q199" s="107"/>
      <c r="R199" s="107"/>
      <c r="S199" s="107"/>
      <c r="T199" s="107"/>
      <c r="U199" s="107"/>
      <c r="V199" s="107"/>
      <c r="W199" s="107"/>
      <c r="X199" s="107"/>
      <c r="Y199" s="107"/>
      <c r="Z199" s="107"/>
      <c r="AA199" s="108"/>
      <c r="AB199" s="104"/>
      <c r="AC199" s="104"/>
      <c r="AD199" s="104"/>
    </row>
    <row r="200" spans="1:30" ht="38.25">
      <c r="A200" s="147"/>
      <c r="B200" s="83" t="s">
        <v>1812</v>
      </c>
      <c r="C200" s="83" t="s">
        <v>1270</v>
      </c>
      <c r="D200" s="142"/>
      <c r="E200" s="83" t="s">
        <v>1808</v>
      </c>
      <c r="F200" s="83" t="s">
        <v>308</v>
      </c>
      <c r="G200" s="139" t="s">
        <v>188</v>
      </c>
      <c r="H200" s="128"/>
      <c r="I200" s="128"/>
      <c r="J200" s="128"/>
      <c r="K200" s="149"/>
      <c r="L200" s="107"/>
      <c r="M200" s="140"/>
      <c r="N200" s="107"/>
      <c r="O200" s="107"/>
      <c r="P200" s="107"/>
      <c r="Q200" s="107"/>
      <c r="R200" s="107"/>
      <c r="S200" s="107"/>
      <c r="T200" s="107"/>
      <c r="U200" s="107"/>
      <c r="V200" s="107"/>
      <c r="W200" s="107"/>
      <c r="X200" s="107"/>
      <c r="Y200" s="107"/>
      <c r="Z200" s="107"/>
      <c r="AA200" s="108"/>
      <c r="AB200" s="104"/>
      <c r="AC200" s="104"/>
      <c r="AD200" s="104"/>
    </row>
    <row r="201" spans="1:30" ht="38.25">
      <c r="A201" s="147"/>
      <c r="B201" s="83" t="s">
        <v>1327</v>
      </c>
      <c r="C201" s="83" t="s">
        <v>1270</v>
      </c>
      <c r="D201" s="142"/>
      <c r="E201" s="83" t="s">
        <v>1806</v>
      </c>
      <c r="F201" s="83" t="s">
        <v>263</v>
      </c>
      <c r="G201" s="139" t="s">
        <v>188</v>
      </c>
      <c r="H201" s="128"/>
      <c r="I201" s="128"/>
      <c r="J201" s="128"/>
      <c r="K201" s="149"/>
      <c r="L201" s="107"/>
      <c r="M201" s="140"/>
      <c r="N201" s="107"/>
      <c r="O201" s="107"/>
      <c r="P201" s="107"/>
      <c r="Q201" s="107"/>
      <c r="R201" s="107"/>
      <c r="S201" s="107"/>
      <c r="T201" s="107"/>
      <c r="U201" s="107"/>
      <c r="V201" s="107"/>
      <c r="W201" s="107"/>
      <c r="X201" s="107"/>
      <c r="Y201" s="107"/>
      <c r="Z201" s="107"/>
      <c r="AA201" s="108"/>
      <c r="AB201" s="104"/>
      <c r="AC201" s="104"/>
      <c r="AD201" s="104"/>
    </row>
    <row r="202" spans="1:30" ht="63.75">
      <c r="A202" s="147"/>
      <c r="B202" s="83" t="s">
        <v>1342</v>
      </c>
      <c r="C202" s="83" t="s">
        <v>1343</v>
      </c>
      <c r="D202" s="142"/>
      <c r="E202" s="83" t="s">
        <v>1344</v>
      </c>
      <c r="F202" s="83" t="s">
        <v>309</v>
      </c>
      <c r="G202" s="139" t="s">
        <v>188</v>
      </c>
      <c r="H202" s="146"/>
      <c r="I202" s="128"/>
      <c r="J202" s="128"/>
      <c r="K202" s="149"/>
      <c r="L202" s="107"/>
      <c r="M202" s="140"/>
      <c r="N202" s="107"/>
      <c r="O202" s="107"/>
      <c r="P202" s="107"/>
      <c r="Q202" s="107"/>
      <c r="R202" s="107"/>
      <c r="S202" s="107"/>
      <c r="T202" s="107"/>
      <c r="U202" s="107"/>
      <c r="V202" s="107"/>
      <c r="W202" s="107"/>
      <c r="X202" s="107"/>
      <c r="Y202" s="107"/>
      <c r="Z202" s="107"/>
      <c r="AA202" s="108"/>
      <c r="AB202" s="104"/>
      <c r="AC202" s="104"/>
      <c r="AD202" s="104"/>
    </row>
    <row r="203" spans="1:30" ht="63.75">
      <c r="A203" s="147"/>
      <c r="B203" s="83" t="s">
        <v>1345</v>
      </c>
      <c r="C203" s="83" t="s">
        <v>1343</v>
      </c>
      <c r="D203" s="142"/>
      <c r="E203" s="83" t="s">
        <v>1333</v>
      </c>
      <c r="F203" s="83" t="s">
        <v>310</v>
      </c>
      <c r="G203" s="139" t="s">
        <v>188</v>
      </c>
      <c r="H203" s="128"/>
      <c r="I203" s="128"/>
      <c r="J203" s="128"/>
      <c r="K203" s="149"/>
      <c r="L203" s="107"/>
      <c r="M203" s="140"/>
      <c r="N203" s="107"/>
      <c r="O203" s="107"/>
      <c r="P203" s="107"/>
      <c r="Q203" s="107"/>
      <c r="R203" s="107"/>
      <c r="S203" s="107"/>
      <c r="T203" s="107"/>
      <c r="U203" s="107"/>
      <c r="V203" s="107"/>
      <c r="W203" s="107"/>
      <c r="X203" s="107"/>
      <c r="Y203" s="107"/>
      <c r="Z203" s="107"/>
      <c r="AA203" s="108"/>
      <c r="AB203" s="104"/>
      <c r="AC203" s="104"/>
      <c r="AD203" s="104"/>
    </row>
    <row r="204" spans="1:30" ht="204">
      <c r="A204" s="147"/>
      <c r="B204" s="83" t="s">
        <v>1803</v>
      </c>
      <c r="C204" s="128"/>
      <c r="D204" s="142"/>
      <c r="E204" s="128"/>
      <c r="F204" s="128"/>
      <c r="G204" s="139" t="s">
        <v>188</v>
      </c>
      <c r="H204" s="157"/>
      <c r="I204" s="128"/>
      <c r="J204" s="128"/>
      <c r="K204" s="149"/>
      <c r="L204" s="107"/>
      <c r="M204" s="105"/>
      <c r="N204" s="107"/>
      <c r="O204" s="107"/>
      <c r="P204" s="107"/>
      <c r="Q204" s="107"/>
      <c r="R204" s="107"/>
      <c r="S204" s="107"/>
      <c r="T204" s="107"/>
      <c r="U204" s="107"/>
      <c r="V204" s="107"/>
      <c r="W204" s="107"/>
      <c r="X204" s="107"/>
      <c r="Y204" s="107"/>
      <c r="Z204" s="107"/>
      <c r="AA204" s="108"/>
      <c r="AB204" s="104"/>
      <c r="AC204" s="104"/>
      <c r="AD204" s="104"/>
    </row>
    <row r="205" spans="1:30" ht="63.75">
      <c r="A205" s="147"/>
      <c r="B205" s="83" t="s">
        <v>1346</v>
      </c>
      <c r="C205" s="83" t="s">
        <v>1343</v>
      </c>
      <c r="D205" s="142"/>
      <c r="E205" s="83" t="s">
        <v>1809</v>
      </c>
      <c r="F205" s="83" t="s">
        <v>313</v>
      </c>
      <c r="G205" s="139" t="s">
        <v>188</v>
      </c>
      <c r="H205" s="128"/>
      <c r="I205" s="128"/>
      <c r="J205" s="128"/>
      <c r="K205" s="149"/>
      <c r="L205" s="107"/>
      <c r="M205" s="140"/>
      <c r="N205" s="107"/>
      <c r="O205" s="107"/>
      <c r="P205" s="107"/>
      <c r="Q205" s="107"/>
      <c r="R205" s="107"/>
      <c r="S205" s="107"/>
      <c r="T205" s="107"/>
      <c r="U205" s="107"/>
      <c r="V205" s="107"/>
      <c r="W205" s="107"/>
      <c r="X205" s="107"/>
      <c r="Y205" s="107"/>
      <c r="Z205" s="107"/>
      <c r="AA205" s="108"/>
      <c r="AB205" s="104"/>
      <c r="AC205" s="104"/>
      <c r="AD205" s="104"/>
    </row>
    <row r="206" spans="1:30" ht="76.5">
      <c r="A206" s="147"/>
      <c r="B206" s="83" t="s">
        <v>1347</v>
      </c>
      <c r="C206" s="83" t="s">
        <v>1343</v>
      </c>
      <c r="D206" s="142"/>
      <c r="E206" s="83" t="s">
        <v>1348</v>
      </c>
      <c r="F206" s="83" t="s">
        <v>1811</v>
      </c>
      <c r="G206" s="139" t="s">
        <v>188</v>
      </c>
      <c r="H206" s="128"/>
      <c r="I206" s="128"/>
      <c r="J206" s="128"/>
      <c r="K206" s="149"/>
      <c r="L206" s="107"/>
      <c r="M206" s="140"/>
      <c r="N206" s="107"/>
      <c r="O206" s="107"/>
      <c r="P206" s="107"/>
      <c r="Q206" s="107"/>
      <c r="R206" s="107"/>
      <c r="S206" s="107"/>
      <c r="T206" s="107"/>
      <c r="U206" s="107"/>
      <c r="V206" s="107"/>
      <c r="W206" s="107"/>
      <c r="X206" s="107"/>
      <c r="Y206" s="107"/>
      <c r="Z206" s="107"/>
      <c r="AA206" s="108"/>
      <c r="AB206" s="104"/>
      <c r="AC206" s="104"/>
      <c r="AD206" s="104"/>
    </row>
    <row r="207" spans="1:30" ht="13.5">
      <c r="A207" s="262" t="s">
        <v>1813</v>
      </c>
      <c r="B207" s="237"/>
      <c r="C207" s="237"/>
      <c r="D207" s="237"/>
      <c r="E207" s="237"/>
      <c r="F207" s="237"/>
      <c r="G207" s="237"/>
      <c r="H207" s="237"/>
      <c r="I207" s="237"/>
      <c r="J207" s="238"/>
      <c r="K207" s="148"/>
      <c r="L207" s="107"/>
      <c r="M207" s="107"/>
      <c r="N207" s="107"/>
      <c r="O207" s="107"/>
      <c r="P207" s="107"/>
      <c r="Q207" s="107"/>
      <c r="R207" s="107"/>
      <c r="S207" s="107"/>
      <c r="T207" s="107"/>
      <c r="U207" s="107"/>
      <c r="V207" s="107"/>
      <c r="W207" s="107"/>
      <c r="X207" s="107"/>
      <c r="Y207" s="107"/>
      <c r="Z207" s="107"/>
      <c r="AA207" s="108"/>
      <c r="AB207" s="104"/>
      <c r="AC207" s="104"/>
      <c r="AD207" s="104"/>
    </row>
    <row r="208" spans="1:30" ht="76.5" customHeight="1">
      <c r="A208" s="141" t="s">
        <v>257</v>
      </c>
      <c r="B208" s="83" t="s">
        <v>258</v>
      </c>
      <c r="C208" s="83" t="s">
        <v>259</v>
      </c>
      <c r="D208" s="142"/>
      <c r="E208" s="83" t="s">
        <v>1349</v>
      </c>
      <c r="F208" s="83" t="s">
        <v>260</v>
      </c>
      <c r="G208" s="139" t="s">
        <v>188</v>
      </c>
      <c r="H208" s="83"/>
      <c r="I208" s="128"/>
      <c r="J208" s="128"/>
      <c r="K208" s="149"/>
      <c r="L208" s="107"/>
      <c r="M208" s="140"/>
      <c r="N208" s="107"/>
      <c r="O208" s="107"/>
      <c r="P208" s="107"/>
      <c r="Q208" s="107"/>
      <c r="R208" s="107"/>
      <c r="S208" s="107"/>
      <c r="T208" s="107"/>
      <c r="U208" s="107"/>
      <c r="V208" s="107"/>
      <c r="W208" s="107"/>
      <c r="X208" s="107"/>
      <c r="Y208" s="107"/>
      <c r="Z208" s="107"/>
      <c r="AA208" s="108"/>
      <c r="AB208" s="104"/>
      <c r="AC208" s="104"/>
      <c r="AD208" s="104"/>
    </row>
    <row r="209" spans="1:30" ht="198.75" customHeight="1">
      <c r="A209" s="147"/>
      <c r="B209" s="83" t="s">
        <v>1814</v>
      </c>
      <c r="C209" s="128"/>
      <c r="D209" s="142"/>
      <c r="E209" s="128"/>
      <c r="F209" s="128"/>
      <c r="G209" s="139" t="s">
        <v>188</v>
      </c>
      <c r="H209" s="83"/>
      <c r="I209" s="128"/>
      <c r="J209" s="128"/>
      <c r="K209" s="149"/>
      <c r="L209" s="107"/>
      <c r="M209" s="105"/>
      <c r="N209" s="107"/>
      <c r="O209" s="107"/>
      <c r="P209" s="107"/>
      <c r="Q209" s="107"/>
      <c r="R209" s="107"/>
      <c r="S209" s="107"/>
      <c r="T209" s="107"/>
      <c r="U209" s="107"/>
      <c r="V209" s="107"/>
      <c r="W209" s="107"/>
      <c r="X209" s="107"/>
      <c r="Y209" s="107"/>
      <c r="Z209" s="107"/>
      <c r="AA209" s="108"/>
      <c r="AB209" s="104"/>
      <c r="AC209" s="104"/>
      <c r="AD209" s="104"/>
    </row>
    <row r="210" spans="1:30" ht="63.75">
      <c r="A210" s="141" t="s">
        <v>261</v>
      </c>
      <c r="B210" s="83" t="s">
        <v>262</v>
      </c>
      <c r="C210" s="83" t="s">
        <v>1350</v>
      </c>
      <c r="D210" s="142"/>
      <c r="E210" s="83" t="s">
        <v>1806</v>
      </c>
      <c r="F210" s="83" t="s">
        <v>263</v>
      </c>
      <c r="G210" s="139" t="s">
        <v>188</v>
      </c>
      <c r="H210" s="83"/>
      <c r="I210" s="128"/>
      <c r="J210" s="128"/>
      <c r="K210" s="149"/>
      <c r="L210" s="107"/>
      <c r="M210" s="140"/>
      <c r="N210" s="107"/>
      <c r="O210" s="107"/>
      <c r="P210" s="107"/>
      <c r="Q210" s="107"/>
      <c r="R210" s="107"/>
      <c r="S210" s="107"/>
      <c r="T210" s="107"/>
      <c r="U210" s="107"/>
      <c r="V210" s="107"/>
      <c r="W210" s="107"/>
      <c r="X210" s="107"/>
      <c r="Y210" s="107"/>
      <c r="Z210" s="107"/>
      <c r="AA210" s="108"/>
      <c r="AB210" s="104"/>
      <c r="AC210" s="104"/>
      <c r="AD210" s="104"/>
    </row>
    <row r="211" spans="1:30" ht="102">
      <c r="A211" s="147"/>
      <c r="B211" s="83" t="s">
        <v>262</v>
      </c>
      <c r="C211" s="128"/>
      <c r="D211" s="142"/>
      <c r="E211" s="83" t="s">
        <v>1807</v>
      </c>
      <c r="F211" s="83" t="s">
        <v>1351</v>
      </c>
      <c r="G211" s="139" t="s">
        <v>188</v>
      </c>
      <c r="H211" s="83"/>
      <c r="I211" s="128"/>
      <c r="J211" s="128"/>
      <c r="K211" s="149"/>
      <c r="L211" s="107"/>
      <c r="M211" s="140"/>
      <c r="N211" s="107"/>
      <c r="O211" s="107"/>
      <c r="P211" s="107"/>
      <c r="Q211" s="107"/>
      <c r="R211" s="107"/>
      <c r="S211" s="107"/>
      <c r="T211" s="107"/>
      <c r="U211" s="107"/>
      <c r="V211" s="107"/>
      <c r="W211" s="107"/>
      <c r="X211" s="107"/>
      <c r="Y211" s="107"/>
      <c r="Z211" s="107"/>
      <c r="AA211" s="108"/>
      <c r="AB211" s="104"/>
      <c r="AC211" s="104"/>
      <c r="AD211" s="104"/>
    </row>
    <row r="212" spans="1:30" ht="96" customHeight="1">
      <c r="A212" s="141" t="s">
        <v>265</v>
      </c>
      <c r="B212" s="83" t="s">
        <v>266</v>
      </c>
      <c r="C212" s="128"/>
      <c r="D212" s="142"/>
      <c r="E212" s="83" t="s">
        <v>1287</v>
      </c>
      <c r="F212" s="83" t="s">
        <v>267</v>
      </c>
      <c r="G212" s="139" t="s">
        <v>188</v>
      </c>
      <c r="H212" s="83"/>
      <c r="I212" s="128"/>
      <c r="J212" s="128"/>
      <c r="K212" s="149"/>
      <c r="L212" s="107"/>
      <c r="M212" s="140"/>
      <c r="N212" s="107"/>
      <c r="O212" s="107"/>
      <c r="P212" s="107"/>
      <c r="Q212" s="107"/>
      <c r="R212" s="107"/>
      <c r="S212" s="107"/>
      <c r="T212" s="107"/>
      <c r="U212" s="107"/>
      <c r="V212" s="107"/>
      <c r="W212" s="107"/>
      <c r="X212" s="107"/>
      <c r="Y212" s="107"/>
      <c r="Z212" s="107"/>
      <c r="AA212" s="108"/>
      <c r="AB212" s="104"/>
      <c r="AC212" s="104"/>
      <c r="AD212" s="104"/>
    </row>
    <row r="213" spans="1:30" ht="76.5">
      <c r="A213" s="147"/>
      <c r="B213" s="83" t="s">
        <v>268</v>
      </c>
      <c r="C213" s="128"/>
      <c r="D213" s="142"/>
      <c r="E213" s="83" t="s">
        <v>1304</v>
      </c>
      <c r="F213" s="83" t="s">
        <v>269</v>
      </c>
      <c r="G213" s="139" t="s">
        <v>188</v>
      </c>
      <c r="H213" s="83"/>
      <c r="I213" s="128"/>
      <c r="J213" s="128"/>
      <c r="K213" s="149"/>
      <c r="L213" s="107"/>
      <c r="M213" s="140"/>
      <c r="N213" s="107"/>
      <c r="O213" s="107"/>
      <c r="P213" s="107"/>
      <c r="Q213" s="107"/>
      <c r="R213" s="107"/>
      <c r="S213" s="107"/>
      <c r="T213" s="107"/>
      <c r="U213" s="107"/>
      <c r="V213" s="107"/>
      <c r="W213" s="107"/>
      <c r="X213" s="107"/>
      <c r="Y213" s="107"/>
      <c r="Z213" s="107"/>
      <c r="AA213" s="108"/>
      <c r="AB213" s="104"/>
      <c r="AC213" s="104"/>
      <c r="AD213" s="104"/>
    </row>
    <row r="214" spans="1:30" ht="105" customHeight="1">
      <c r="A214" s="141" t="s">
        <v>270</v>
      </c>
      <c r="B214" s="83" t="s">
        <v>271</v>
      </c>
      <c r="C214" s="128"/>
      <c r="D214" s="142"/>
      <c r="E214" s="83" t="s">
        <v>272</v>
      </c>
      <c r="F214" s="83" t="s">
        <v>273</v>
      </c>
      <c r="G214" s="139" t="s">
        <v>188</v>
      </c>
      <c r="H214" s="83"/>
      <c r="I214" s="128"/>
      <c r="J214" s="128"/>
      <c r="K214" s="149"/>
      <c r="L214" s="107"/>
      <c r="M214" s="140"/>
      <c r="N214" s="107"/>
      <c r="O214" s="107"/>
      <c r="P214" s="107"/>
      <c r="Q214" s="107"/>
      <c r="R214" s="107"/>
      <c r="S214" s="107"/>
      <c r="T214" s="107"/>
      <c r="U214" s="107"/>
      <c r="V214" s="107"/>
      <c r="W214" s="107"/>
      <c r="X214" s="107"/>
      <c r="Y214" s="107"/>
      <c r="Z214" s="107"/>
      <c r="AA214" s="108"/>
      <c r="AB214" s="104"/>
      <c r="AC214" s="104"/>
      <c r="AD214" s="104"/>
    </row>
    <row r="215" spans="1:30" ht="51">
      <c r="A215" s="147"/>
      <c r="B215" s="83" t="s">
        <v>274</v>
      </c>
      <c r="C215" s="128"/>
      <c r="D215" s="142"/>
      <c r="E215" s="83" t="s">
        <v>1352</v>
      </c>
      <c r="F215" s="83" t="s">
        <v>275</v>
      </c>
      <c r="G215" s="139" t="s">
        <v>188</v>
      </c>
      <c r="H215" s="146"/>
      <c r="I215" s="128"/>
      <c r="J215" s="128"/>
      <c r="K215" s="149"/>
      <c r="L215" s="107"/>
      <c r="M215" s="140"/>
      <c r="N215" s="107"/>
      <c r="O215" s="107"/>
      <c r="P215" s="107"/>
      <c r="Q215" s="107"/>
      <c r="R215" s="107"/>
      <c r="S215" s="107"/>
      <c r="T215" s="107"/>
      <c r="U215" s="107"/>
      <c r="V215" s="107"/>
      <c r="W215" s="107"/>
      <c r="X215" s="107"/>
      <c r="Y215" s="107"/>
      <c r="Z215" s="107"/>
      <c r="AA215" s="108"/>
      <c r="AB215" s="104"/>
      <c r="AC215" s="104"/>
      <c r="AD215" s="104"/>
    </row>
    <row r="216" spans="1:30" ht="114.75">
      <c r="A216" s="147"/>
      <c r="B216" s="83" t="s">
        <v>276</v>
      </c>
      <c r="C216" s="128"/>
      <c r="D216" s="142"/>
      <c r="E216" s="83" t="s">
        <v>1353</v>
      </c>
      <c r="F216" s="83" t="s">
        <v>1354</v>
      </c>
      <c r="G216" s="139" t="s">
        <v>188</v>
      </c>
      <c r="H216" s="146"/>
      <c r="I216" s="128"/>
      <c r="J216" s="128"/>
      <c r="K216" s="149"/>
      <c r="L216" s="107"/>
      <c r="M216" s="140"/>
      <c r="N216" s="107"/>
      <c r="O216" s="107"/>
      <c r="P216" s="107"/>
      <c r="Q216" s="107"/>
      <c r="R216" s="107"/>
      <c r="S216" s="107"/>
      <c r="T216" s="107"/>
      <c r="U216" s="107"/>
      <c r="V216" s="107"/>
      <c r="W216" s="107"/>
      <c r="X216" s="107"/>
      <c r="Y216" s="107"/>
      <c r="Z216" s="107"/>
      <c r="AA216" s="108"/>
      <c r="AB216" s="104"/>
      <c r="AC216" s="104"/>
      <c r="AD216" s="104"/>
    </row>
    <row r="217" spans="1:30" ht="89.25">
      <c r="A217" s="147"/>
      <c r="B217" s="83" t="s">
        <v>277</v>
      </c>
      <c r="C217" s="128"/>
      <c r="D217" s="142"/>
      <c r="E217" s="83" t="s">
        <v>1355</v>
      </c>
      <c r="F217" s="83" t="s">
        <v>278</v>
      </c>
      <c r="G217" s="139" t="s">
        <v>188</v>
      </c>
      <c r="H217" s="146"/>
      <c r="I217" s="128"/>
      <c r="J217" s="128"/>
      <c r="K217" s="149"/>
      <c r="L217" s="107"/>
      <c r="M217" s="140"/>
      <c r="N217" s="107"/>
      <c r="O217" s="107"/>
      <c r="P217" s="107"/>
      <c r="Q217" s="107"/>
      <c r="R217" s="107"/>
      <c r="S217" s="107"/>
      <c r="T217" s="107"/>
      <c r="U217" s="107"/>
      <c r="V217" s="107"/>
      <c r="W217" s="107"/>
      <c r="X217" s="107"/>
      <c r="Y217" s="107"/>
      <c r="Z217" s="107"/>
      <c r="AA217" s="108"/>
      <c r="AB217" s="104"/>
      <c r="AC217" s="104"/>
      <c r="AD217" s="104"/>
    </row>
    <row r="218" spans="1:30" ht="255">
      <c r="A218" s="147"/>
      <c r="B218" s="83" t="s">
        <v>1815</v>
      </c>
      <c r="C218" s="128"/>
      <c r="D218" s="142"/>
      <c r="E218" s="128"/>
      <c r="F218" s="128"/>
      <c r="G218" s="139" t="s">
        <v>188</v>
      </c>
      <c r="H218" s="83"/>
      <c r="I218" s="128"/>
      <c r="J218" s="128"/>
      <c r="K218" s="149"/>
      <c r="L218" s="107"/>
      <c r="M218" s="105"/>
      <c r="N218" s="107"/>
      <c r="O218" s="107"/>
      <c r="P218" s="107"/>
      <c r="Q218" s="107"/>
      <c r="R218" s="107"/>
      <c r="S218" s="107"/>
      <c r="T218" s="107"/>
      <c r="U218" s="107"/>
      <c r="V218" s="107"/>
      <c r="W218" s="107"/>
      <c r="X218" s="107"/>
      <c r="Y218" s="107"/>
      <c r="Z218" s="107"/>
      <c r="AA218" s="108"/>
      <c r="AB218" s="104"/>
      <c r="AC218" s="104"/>
      <c r="AD218" s="104"/>
    </row>
    <row r="219" spans="1:30" ht="60.75" customHeight="1">
      <c r="A219" s="147"/>
      <c r="B219" s="83" t="s">
        <v>1356</v>
      </c>
      <c r="C219" s="128"/>
      <c r="D219" s="142"/>
      <c r="E219" s="83"/>
      <c r="F219" s="128"/>
      <c r="G219" s="139" t="s">
        <v>188</v>
      </c>
      <c r="H219" s="150"/>
      <c r="I219" s="128"/>
      <c r="J219" s="128"/>
      <c r="K219" s="149"/>
      <c r="L219" s="107"/>
      <c r="M219" s="105"/>
      <c r="N219" s="107"/>
      <c r="O219" s="107"/>
      <c r="P219" s="107"/>
      <c r="Q219" s="107"/>
      <c r="R219" s="107"/>
      <c r="S219" s="107"/>
      <c r="T219" s="107"/>
      <c r="U219" s="107"/>
      <c r="V219" s="107"/>
      <c r="W219" s="107"/>
      <c r="X219" s="107"/>
      <c r="Y219" s="107"/>
      <c r="Z219" s="107"/>
      <c r="AA219" s="108"/>
      <c r="AB219" s="104"/>
      <c r="AC219" s="104"/>
      <c r="AD219" s="104"/>
    </row>
    <row r="220" spans="1:30" ht="13.5">
      <c r="A220" s="262" t="s">
        <v>1357</v>
      </c>
      <c r="B220" s="237"/>
      <c r="C220" s="237"/>
      <c r="D220" s="237"/>
      <c r="E220" s="237"/>
      <c r="F220" s="237"/>
      <c r="G220" s="237"/>
      <c r="H220" s="237"/>
      <c r="I220" s="237"/>
      <c r="J220" s="238"/>
      <c r="K220" s="149"/>
      <c r="L220" s="107"/>
      <c r="M220" s="107"/>
      <c r="N220" s="107"/>
      <c r="O220" s="107"/>
      <c r="P220" s="107"/>
      <c r="Q220" s="107"/>
      <c r="R220" s="107"/>
      <c r="S220" s="107"/>
      <c r="T220" s="107"/>
      <c r="U220" s="107"/>
      <c r="V220" s="107"/>
      <c r="W220" s="107"/>
      <c r="X220" s="107"/>
      <c r="Y220" s="107"/>
      <c r="Z220" s="107"/>
      <c r="AA220" s="108"/>
      <c r="AB220" s="104"/>
      <c r="AC220" s="104"/>
      <c r="AD220" s="104"/>
    </row>
    <row r="221" spans="1:30" ht="13.5">
      <c r="A221" s="262" t="s">
        <v>1358</v>
      </c>
      <c r="B221" s="237"/>
      <c r="C221" s="237"/>
      <c r="D221" s="237"/>
      <c r="E221" s="237"/>
      <c r="F221" s="237"/>
      <c r="G221" s="237"/>
      <c r="H221" s="237"/>
      <c r="I221" s="237"/>
      <c r="J221" s="238"/>
      <c r="K221" s="148"/>
      <c r="L221" s="107"/>
      <c r="M221" s="107"/>
      <c r="N221" s="107"/>
      <c r="O221" s="107"/>
      <c r="P221" s="107"/>
      <c r="Q221" s="107"/>
      <c r="R221" s="107"/>
      <c r="S221" s="107"/>
      <c r="T221" s="107"/>
      <c r="U221" s="107"/>
      <c r="V221" s="107"/>
      <c r="W221" s="107"/>
      <c r="X221" s="107"/>
      <c r="Y221" s="107"/>
      <c r="Z221" s="107"/>
      <c r="AA221" s="108"/>
      <c r="AB221" s="104"/>
      <c r="AC221" s="104"/>
      <c r="AD221" s="104"/>
    </row>
    <row r="222" spans="1:30" ht="229.5">
      <c r="A222" s="147"/>
      <c r="B222" s="83" t="s">
        <v>315</v>
      </c>
      <c r="C222" s="83" t="s">
        <v>1816</v>
      </c>
      <c r="D222" s="142"/>
      <c r="E222" s="158" t="s">
        <v>1817</v>
      </c>
      <c r="F222" s="83" t="s">
        <v>1818</v>
      </c>
      <c r="G222" s="139" t="s">
        <v>188</v>
      </c>
      <c r="H222" s="128"/>
      <c r="I222" s="128"/>
      <c r="J222" s="128"/>
      <c r="K222" s="149"/>
      <c r="L222" s="107"/>
      <c r="M222" s="140"/>
      <c r="N222" s="107"/>
      <c r="O222" s="107"/>
      <c r="P222" s="107"/>
      <c r="Q222" s="107"/>
      <c r="R222" s="107"/>
      <c r="S222" s="107"/>
      <c r="T222" s="107"/>
      <c r="U222" s="107"/>
      <c r="V222" s="107"/>
      <c r="W222" s="107"/>
      <c r="X222" s="107"/>
      <c r="Y222" s="107"/>
      <c r="Z222" s="107"/>
      <c r="AA222" s="108"/>
      <c r="AB222" s="104"/>
      <c r="AC222" s="104"/>
      <c r="AD222" s="104"/>
    </row>
    <row r="223" spans="1:30" ht="13.5">
      <c r="A223" s="262" t="s">
        <v>1359</v>
      </c>
      <c r="B223" s="237"/>
      <c r="C223" s="237"/>
      <c r="D223" s="237"/>
      <c r="E223" s="237"/>
      <c r="F223" s="237"/>
      <c r="G223" s="237"/>
      <c r="H223" s="237"/>
      <c r="I223" s="237"/>
      <c r="J223" s="238"/>
      <c r="K223" s="148"/>
      <c r="L223" s="107"/>
      <c r="M223" s="107"/>
      <c r="N223" s="107"/>
      <c r="O223" s="107"/>
      <c r="P223" s="107"/>
      <c r="Q223" s="107"/>
      <c r="R223" s="107"/>
      <c r="S223" s="107"/>
      <c r="T223" s="107"/>
      <c r="U223" s="107"/>
      <c r="V223" s="107"/>
      <c r="W223" s="107"/>
      <c r="X223" s="107"/>
      <c r="Y223" s="107"/>
      <c r="Z223" s="107"/>
      <c r="AA223" s="108"/>
      <c r="AB223" s="104"/>
      <c r="AC223" s="104"/>
      <c r="AD223" s="104"/>
    </row>
    <row r="224" spans="1:30" ht="76.5">
      <c r="A224" s="147"/>
      <c r="B224" s="83" t="s">
        <v>1360</v>
      </c>
      <c r="C224" s="83" t="s">
        <v>1816</v>
      </c>
      <c r="D224" s="142"/>
      <c r="E224" s="83" t="s">
        <v>1819</v>
      </c>
      <c r="F224" s="83" t="s">
        <v>1820</v>
      </c>
      <c r="G224" s="139" t="s">
        <v>188</v>
      </c>
      <c r="H224" s="128"/>
      <c r="I224" s="128"/>
      <c r="J224" s="128"/>
      <c r="K224" s="149"/>
      <c r="L224" s="107"/>
      <c r="M224" s="140"/>
      <c r="N224" s="107"/>
      <c r="O224" s="107"/>
      <c r="P224" s="107"/>
      <c r="Q224" s="107"/>
      <c r="R224" s="107"/>
      <c r="S224" s="107"/>
      <c r="T224" s="107"/>
      <c r="U224" s="107"/>
      <c r="V224" s="107"/>
      <c r="W224" s="107"/>
      <c r="X224" s="107"/>
      <c r="Y224" s="107"/>
      <c r="Z224" s="107"/>
      <c r="AA224" s="108"/>
      <c r="AB224" s="104"/>
      <c r="AC224" s="104"/>
      <c r="AD224" s="104"/>
    </row>
    <row r="225" spans="1:30" ht="369.75">
      <c r="A225" s="147"/>
      <c r="B225" s="83" t="s">
        <v>1821</v>
      </c>
      <c r="C225" s="128"/>
      <c r="D225" s="142"/>
      <c r="E225" s="128"/>
      <c r="F225" s="128"/>
      <c r="G225" s="139" t="s">
        <v>188</v>
      </c>
      <c r="H225" s="128"/>
      <c r="I225" s="128"/>
      <c r="J225" s="128"/>
      <c r="K225" s="133"/>
      <c r="L225" s="107"/>
      <c r="M225" s="105"/>
      <c r="N225" s="107"/>
      <c r="O225" s="107"/>
      <c r="P225" s="107"/>
      <c r="Q225" s="107"/>
      <c r="R225" s="107"/>
      <c r="S225" s="107"/>
      <c r="T225" s="107"/>
      <c r="U225" s="107"/>
      <c r="V225" s="107"/>
      <c r="W225" s="107"/>
      <c r="X225" s="107"/>
      <c r="Y225" s="107"/>
      <c r="Z225" s="107"/>
      <c r="AA225" s="108"/>
      <c r="AB225" s="104"/>
      <c r="AC225" s="104"/>
      <c r="AD225" s="104"/>
    </row>
    <row r="226" spans="1:30" ht="89.25">
      <c r="A226" s="147"/>
      <c r="B226" s="83" t="s">
        <v>1361</v>
      </c>
      <c r="C226" s="83" t="s">
        <v>1816</v>
      </c>
      <c r="D226" s="142"/>
      <c r="E226" s="83" t="s">
        <v>1822</v>
      </c>
      <c r="F226" s="83" t="s">
        <v>1362</v>
      </c>
      <c r="G226" s="139" t="s">
        <v>188</v>
      </c>
      <c r="H226" s="128"/>
      <c r="I226" s="128"/>
      <c r="J226" s="128"/>
      <c r="K226" s="133"/>
      <c r="L226" s="107"/>
      <c r="M226" s="140"/>
      <c r="N226" s="107"/>
      <c r="O226" s="107"/>
      <c r="P226" s="107"/>
      <c r="Q226" s="107"/>
      <c r="R226" s="107"/>
      <c r="S226" s="107"/>
      <c r="T226" s="107"/>
      <c r="U226" s="107"/>
      <c r="V226" s="107"/>
      <c r="W226" s="107"/>
      <c r="X226" s="107"/>
      <c r="Y226" s="107"/>
      <c r="Z226" s="107"/>
      <c r="AA226" s="108"/>
      <c r="AB226" s="104"/>
      <c r="AC226" s="104"/>
      <c r="AD226" s="104"/>
    </row>
    <row r="227" spans="1:30" ht="306">
      <c r="A227" s="147"/>
      <c r="B227" s="83" t="s">
        <v>1823</v>
      </c>
      <c r="C227" s="128"/>
      <c r="D227" s="142"/>
      <c r="E227" s="128"/>
      <c r="F227" s="128"/>
      <c r="G227" s="139" t="s">
        <v>188</v>
      </c>
      <c r="H227" s="128"/>
      <c r="I227" s="128"/>
      <c r="J227" s="128"/>
      <c r="K227" s="133"/>
      <c r="L227" s="107"/>
      <c r="M227" s="105"/>
      <c r="N227" s="107"/>
      <c r="O227" s="107"/>
      <c r="P227" s="107"/>
      <c r="Q227" s="107"/>
      <c r="R227" s="107"/>
      <c r="S227" s="107"/>
      <c r="T227" s="107"/>
      <c r="U227" s="107"/>
      <c r="V227" s="107"/>
      <c r="W227" s="107"/>
      <c r="X227" s="107"/>
      <c r="Y227" s="107"/>
      <c r="Z227" s="107"/>
      <c r="AA227" s="108"/>
      <c r="AB227" s="104"/>
      <c r="AC227" s="104"/>
      <c r="AD227" s="104"/>
    </row>
    <row r="228" spans="1:30" ht="114.75">
      <c r="A228" s="147"/>
      <c r="B228" s="83" t="s">
        <v>1363</v>
      </c>
      <c r="C228" s="83" t="s">
        <v>1816</v>
      </c>
      <c r="D228" s="142"/>
      <c r="E228" s="83" t="s">
        <v>1364</v>
      </c>
      <c r="F228" s="83" t="s">
        <v>1365</v>
      </c>
      <c r="G228" s="139" t="s">
        <v>188</v>
      </c>
      <c r="H228" s="83"/>
      <c r="I228" s="128"/>
      <c r="J228" s="128"/>
      <c r="K228" s="133"/>
      <c r="L228" s="107"/>
      <c r="M228" s="140"/>
      <c r="N228" s="107"/>
      <c r="O228" s="107"/>
      <c r="P228" s="107"/>
      <c r="Q228" s="107"/>
      <c r="R228" s="107"/>
      <c r="S228" s="107"/>
      <c r="T228" s="107"/>
      <c r="U228" s="107"/>
      <c r="V228" s="107"/>
      <c r="W228" s="107"/>
      <c r="X228" s="107"/>
      <c r="Y228" s="107"/>
      <c r="Z228" s="107"/>
      <c r="AA228" s="108"/>
      <c r="AB228" s="104"/>
      <c r="AC228" s="104"/>
      <c r="AD228" s="104"/>
    </row>
    <row r="229" spans="1:30" ht="114.75">
      <c r="A229" s="147"/>
      <c r="B229" s="83" t="s">
        <v>1366</v>
      </c>
      <c r="C229" s="83" t="s">
        <v>1816</v>
      </c>
      <c r="D229" s="142"/>
      <c r="E229" s="83" t="s">
        <v>1367</v>
      </c>
      <c r="F229" s="83" t="s">
        <v>1368</v>
      </c>
      <c r="G229" s="139" t="s">
        <v>188</v>
      </c>
      <c r="H229" s="83"/>
      <c r="I229" s="128"/>
      <c r="J229" s="128"/>
      <c r="K229" s="133"/>
      <c r="L229" s="107"/>
      <c r="M229" s="140"/>
      <c r="N229" s="107"/>
      <c r="O229" s="107"/>
      <c r="P229" s="107"/>
      <c r="Q229" s="107"/>
      <c r="R229" s="107"/>
      <c r="S229" s="107"/>
      <c r="T229" s="107"/>
      <c r="U229" s="107"/>
      <c r="V229" s="107"/>
      <c r="W229" s="107"/>
      <c r="X229" s="107"/>
      <c r="Y229" s="107"/>
      <c r="Z229" s="107"/>
      <c r="AA229" s="108"/>
      <c r="AB229" s="104"/>
      <c r="AC229" s="104"/>
      <c r="AD229" s="104"/>
    </row>
    <row r="230" spans="1:30" ht="89.25">
      <c r="A230" s="147"/>
      <c r="B230" s="83" t="s">
        <v>328</v>
      </c>
      <c r="C230" s="83" t="s">
        <v>1816</v>
      </c>
      <c r="D230" s="142"/>
      <c r="E230" s="83" t="s">
        <v>1369</v>
      </c>
      <c r="F230" s="83" t="s">
        <v>1370</v>
      </c>
      <c r="G230" s="139" t="s">
        <v>188</v>
      </c>
      <c r="H230" s="128"/>
      <c r="I230" s="128"/>
      <c r="J230" s="128"/>
      <c r="K230" s="133"/>
      <c r="L230" s="107"/>
      <c r="M230" s="140"/>
      <c r="N230" s="107"/>
      <c r="O230" s="107"/>
      <c r="P230" s="107"/>
      <c r="Q230" s="107"/>
      <c r="R230" s="107"/>
      <c r="S230" s="107"/>
      <c r="T230" s="107"/>
      <c r="U230" s="107"/>
      <c r="V230" s="107"/>
      <c r="W230" s="107"/>
      <c r="X230" s="107"/>
      <c r="Y230" s="107"/>
      <c r="Z230" s="107"/>
      <c r="AA230" s="108"/>
      <c r="AB230" s="104"/>
      <c r="AC230" s="104"/>
      <c r="AD230" s="104"/>
    </row>
    <row r="231" spans="1:30" ht="89.25">
      <c r="A231" s="147"/>
      <c r="B231" s="83" t="s">
        <v>331</v>
      </c>
      <c r="C231" s="83" t="s">
        <v>1816</v>
      </c>
      <c r="D231" s="142"/>
      <c r="E231" s="83" t="s">
        <v>1371</v>
      </c>
      <c r="F231" s="83" t="s">
        <v>333</v>
      </c>
      <c r="G231" s="139" t="s">
        <v>188</v>
      </c>
      <c r="H231" s="128"/>
      <c r="I231" s="128"/>
      <c r="J231" s="128"/>
      <c r="K231" s="133"/>
      <c r="L231" s="107"/>
      <c r="M231" s="140"/>
      <c r="N231" s="107"/>
      <c r="O231" s="107"/>
      <c r="P231" s="107"/>
      <c r="Q231" s="107"/>
      <c r="R231" s="107"/>
      <c r="S231" s="107"/>
      <c r="T231" s="107"/>
      <c r="U231" s="107"/>
      <c r="V231" s="107"/>
      <c r="W231" s="107"/>
      <c r="X231" s="107"/>
      <c r="Y231" s="107"/>
      <c r="Z231" s="107"/>
      <c r="AA231" s="108"/>
      <c r="AB231" s="104"/>
      <c r="AC231" s="104"/>
      <c r="AD231" s="104"/>
    </row>
    <row r="232" spans="1:30" ht="165.75">
      <c r="A232" s="147"/>
      <c r="B232" s="83" t="s">
        <v>334</v>
      </c>
      <c r="C232" s="83" t="s">
        <v>1816</v>
      </c>
      <c r="D232" s="142"/>
      <c r="E232" s="83" t="s">
        <v>1372</v>
      </c>
      <c r="F232" s="83" t="s">
        <v>1373</v>
      </c>
      <c r="G232" s="139" t="s">
        <v>188</v>
      </c>
      <c r="H232" s="150"/>
      <c r="I232" s="128"/>
      <c r="J232" s="128"/>
      <c r="K232" s="133"/>
      <c r="L232" s="107"/>
      <c r="M232" s="140"/>
      <c r="N232" s="107"/>
      <c r="O232" s="107"/>
      <c r="P232" s="107"/>
      <c r="Q232" s="107"/>
      <c r="R232" s="107"/>
      <c r="S232" s="107"/>
      <c r="T232" s="107"/>
      <c r="U232" s="107"/>
      <c r="V232" s="107"/>
      <c r="W232" s="107"/>
      <c r="X232" s="107"/>
      <c r="Y232" s="107"/>
      <c r="Z232" s="107"/>
      <c r="AA232" s="108"/>
      <c r="AB232" s="104"/>
      <c r="AC232" s="104"/>
      <c r="AD232" s="104"/>
    </row>
    <row r="233" spans="1:30" ht="229.5">
      <c r="A233" s="147"/>
      <c r="B233" s="159" t="s">
        <v>337</v>
      </c>
      <c r="C233" s="83" t="s">
        <v>1816</v>
      </c>
      <c r="D233" s="142"/>
      <c r="E233" s="83" t="s">
        <v>1374</v>
      </c>
      <c r="F233" s="83" t="s">
        <v>1375</v>
      </c>
      <c r="G233" s="139" t="s">
        <v>188</v>
      </c>
      <c r="H233" s="128"/>
      <c r="I233" s="128"/>
      <c r="J233" s="128"/>
      <c r="K233" s="133"/>
      <c r="L233" s="107"/>
      <c r="M233" s="140"/>
      <c r="N233" s="107"/>
      <c r="O233" s="107"/>
      <c r="P233" s="107"/>
      <c r="Q233" s="107"/>
      <c r="R233" s="107"/>
      <c r="S233" s="107"/>
      <c r="T233" s="107"/>
      <c r="U233" s="107"/>
      <c r="V233" s="107"/>
      <c r="W233" s="107"/>
      <c r="X233" s="107"/>
      <c r="Y233" s="107"/>
      <c r="Z233" s="107"/>
      <c r="AA233" s="108"/>
      <c r="AB233" s="104"/>
      <c r="AC233" s="104"/>
      <c r="AD233" s="104"/>
    </row>
    <row r="234" spans="1:30" ht="13.5">
      <c r="A234" s="262" t="s">
        <v>1376</v>
      </c>
      <c r="B234" s="237"/>
      <c r="C234" s="237"/>
      <c r="D234" s="237"/>
      <c r="E234" s="237"/>
      <c r="F234" s="237"/>
      <c r="G234" s="237"/>
      <c r="H234" s="237"/>
      <c r="I234" s="237"/>
      <c r="J234" s="238"/>
      <c r="K234" s="144"/>
      <c r="L234" s="107"/>
      <c r="M234" s="107"/>
      <c r="N234" s="107"/>
      <c r="O234" s="107"/>
      <c r="P234" s="107"/>
      <c r="Q234" s="107"/>
      <c r="R234" s="107"/>
      <c r="S234" s="107"/>
      <c r="T234" s="107"/>
      <c r="U234" s="107"/>
      <c r="V234" s="107"/>
      <c r="W234" s="107"/>
      <c r="X234" s="107"/>
      <c r="Y234" s="107"/>
      <c r="Z234" s="107"/>
      <c r="AA234" s="108"/>
      <c r="AB234" s="104"/>
      <c r="AC234" s="104"/>
      <c r="AD234" s="104"/>
    </row>
    <row r="235" spans="1:30" ht="306">
      <c r="A235" s="147"/>
      <c r="B235" s="83" t="s">
        <v>340</v>
      </c>
      <c r="C235" s="83" t="s">
        <v>1824</v>
      </c>
      <c r="D235" s="142"/>
      <c r="E235" s="83" t="s">
        <v>1377</v>
      </c>
      <c r="F235" s="83" t="s">
        <v>1378</v>
      </c>
      <c r="G235" s="139" t="s">
        <v>188</v>
      </c>
      <c r="H235" s="128"/>
      <c r="I235" s="128"/>
      <c r="J235" s="128"/>
      <c r="K235" s="133"/>
      <c r="L235" s="107"/>
      <c r="M235" s="140"/>
      <c r="N235" s="107"/>
      <c r="O235" s="107"/>
      <c r="P235" s="107"/>
      <c r="Q235" s="107"/>
      <c r="R235" s="107"/>
      <c r="S235" s="107"/>
      <c r="T235" s="107"/>
      <c r="U235" s="107"/>
      <c r="V235" s="107"/>
      <c r="W235" s="107"/>
      <c r="X235" s="107"/>
      <c r="Y235" s="107"/>
      <c r="Z235" s="107"/>
      <c r="AA235" s="108"/>
      <c r="AB235" s="104"/>
      <c r="AC235" s="104"/>
      <c r="AD235" s="104"/>
    </row>
    <row r="236" spans="1:30" ht="369.75">
      <c r="A236" s="147"/>
      <c r="B236" s="83" t="s">
        <v>1825</v>
      </c>
      <c r="C236" s="128"/>
      <c r="D236" s="142"/>
      <c r="E236" s="128"/>
      <c r="F236" s="128"/>
      <c r="G236" s="139" t="s">
        <v>188</v>
      </c>
      <c r="H236" s="128"/>
      <c r="I236" s="128"/>
      <c r="J236" s="128"/>
      <c r="K236" s="133"/>
      <c r="L236" s="107"/>
      <c r="M236" s="105"/>
      <c r="N236" s="107"/>
      <c r="O236" s="107"/>
      <c r="P236" s="107"/>
      <c r="Q236" s="107"/>
      <c r="R236" s="107"/>
      <c r="S236" s="107"/>
      <c r="T236" s="107"/>
      <c r="U236" s="107"/>
      <c r="V236" s="107"/>
      <c r="W236" s="107"/>
      <c r="X236" s="107"/>
      <c r="Y236" s="107"/>
      <c r="Z236" s="107"/>
      <c r="AA236" s="108"/>
      <c r="AB236" s="104"/>
      <c r="AC236" s="104"/>
      <c r="AD236" s="104"/>
    </row>
    <row r="237" spans="1:30" ht="127.5">
      <c r="A237" s="147"/>
      <c r="B237" s="83" t="s">
        <v>344</v>
      </c>
      <c r="C237" s="83" t="s">
        <v>1824</v>
      </c>
      <c r="D237" s="142"/>
      <c r="E237" s="83" t="s">
        <v>1379</v>
      </c>
      <c r="F237" s="83" t="s">
        <v>346</v>
      </c>
      <c r="G237" s="139" t="s">
        <v>188</v>
      </c>
      <c r="H237" s="150"/>
      <c r="I237" s="128"/>
      <c r="J237" s="128"/>
      <c r="K237" s="133"/>
      <c r="L237" s="107"/>
      <c r="M237" s="140"/>
      <c r="N237" s="107"/>
      <c r="O237" s="107"/>
      <c r="P237" s="107"/>
      <c r="Q237" s="107"/>
      <c r="R237" s="107"/>
      <c r="S237" s="107"/>
      <c r="T237" s="107"/>
      <c r="U237" s="107"/>
      <c r="V237" s="107"/>
      <c r="W237" s="107"/>
      <c r="X237" s="107"/>
      <c r="Y237" s="107"/>
      <c r="Z237" s="107"/>
      <c r="AA237" s="108"/>
      <c r="AB237" s="104"/>
      <c r="AC237" s="104"/>
      <c r="AD237" s="104"/>
    </row>
    <row r="238" spans="1:30" ht="306">
      <c r="A238" s="147"/>
      <c r="B238" s="83" t="s">
        <v>1823</v>
      </c>
      <c r="C238" s="128"/>
      <c r="D238" s="142"/>
      <c r="E238" s="128"/>
      <c r="F238" s="128"/>
      <c r="G238" s="139" t="s">
        <v>188</v>
      </c>
      <c r="H238" s="150"/>
      <c r="I238" s="128"/>
      <c r="J238" s="128"/>
      <c r="K238" s="133"/>
      <c r="L238" s="107"/>
      <c r="M238" s="105"/>
      <c r="N238" s="107"/>
      <c r="O238" s="107"/>
      <c r="P238" s="107"/>
      <c r="Q238" s="107"/>
      <c r="R238" s="107"/>
      <c r="S238" s="107"/>
      <c r="T238" s="107"/>
      <c r="U238" s="107"/>
      <c r="V238" s="107"/>
      <c r="W238" s="107"/>
      <c r="X238" s="107"/>
      <c r="Y238" s="107"/>
      <c r="Z238" s="107"/>
      <c r="AA238" s="108"/>
      <c r="AB238" s="104"/>
      <c r="AC238" s="104"/>
      <c r="AD238" s="104"/>
    </row>
    <row r="239" spans="1:30" ht="153">
      <c r="A239" s="147"/>
      <c r="B239" s="83" t="s">
        <v>1380</v>
      </c>
      <c r="C239" s="83" t="s">
        <v>1826</v>
      </c>
      <c r="D239" s="142"/>
      <c r="E239" s="83" t="s">
        <v>1827</v>
      </c>
      <c r="F239" s="83" t="s">
        <v>1381</v>
      </c>
      <c r="G239" s="139" t="s">
        <v>188</v>
      </c>
      <c r="H239" s="128"/>
      <c r="I239" s="128"/>
      <c r="J239" s="128"/>
      <c r="K239" s="133"/>
      <c r="L239" s="107"/>
      <c r="M239" s="140"/>
      <c r="N239" s="107"/>
      <c r="O239" s="107"/>
      <c r="P239" s="107"/>
      <c r="Q239" s="107"/>
      <c r="R239" s="107"/>
      <c r="S239" s="107"/>
      <c r="T239" s="107"/>
      <c r="U239" s="107"/>
      <c r="V239" s="107"/>
      <c r="W239" s="107"/>
      <c r="X239" s="107"/>
      <c r="Y239" s="107"/>
      <c r="Z239" s="107"/>
      <c r="AA239" s="108"/>
      <c r="AB239" s="104"/>
      <c r="AC239" s="104"/>
      <c r="AD239" s="104"/>
    </row>
    <row r="240" spans="1:30" ht="127.5">
      <c r="A240" s="147"/>
      <c r="B240" s="83" t="s">
        <v>1382</v>
      </c>
      <c r="C240" s="83" t="s">
        <v>1383</v>
      </c>
      <c r="D240" s="142"/>
      <c r="E240" s="83" t="s">
        <v>1384</v>
      </c>
      <c r="F240" s="83" t="s">
        <v>1385</v>
      </c>
      <c r="G240" s="139" t="s">
        <v>188</v>
      </c>
      <c r="H240" s="128"/>
      <c r="I240" s="128"/>
      <c r="J240" s="128"/>
      <c r="K240" s="133"/>
      <c r="L240" s="107"/>
      <c r="M240" s="140"/>
      <c r="N240" s="107"/>
      <c r="O240" s="107"/>
      <c r="P240" s="107"/>
      <c r="Q240" s="107"/>
      <c r="R240" s="107"/>
      <c r="S240" s="107"/>
      <c r="T240" s="107"/>
      <c r="U240" s="107"/>
      <c r="V240" s="107"/>
      <c r="W240" s="107"/>
      <c r="X240" s="107"/>
      <c r="Y240" s="107"/>
      <c r="Z240" s="107"/>
      <c r="AA240" s="108"/>
      <c r="AB240" s="104"/>
      <c r="AC240" s="104"/>
      <c r="AD240" s="104"/>
    </row>
    <row r="241" spans="1:30" ht="127.5">
      <c r="A241" s="147"/>
      <c r="B241" s="83" t="s">
        <v>355</v>
      </c>
      <c r="C241" s="83" t="s">
        <v>1386</v>
      </c>
      <c r="D241" s="142"/>
      <c r="E241" s="83" t="s">
        <v>1828</v>
      </c>
      <c r="F241" s="83" t="s">
        <v>1387</v>
      </c>
      <c r="G241" s="139" t="s">
        <v>188</v>
      </c>
      <c r="H241" s="150"/>
      <c r="I241" s="128"/>
      <c r="J241" s="128"/>
      <c r="K241" s="133"/>
      <c r="L241" s="107"/>
      <c r="M241" s="140"/>
      <c r="N241" s="107"/>
      <c r="O241" s="107"/>
      <c r="P241" s="107"/>
      <c r="Q241" s="107"/>
      <c r="R241" s="107"/>
      <c r="S241" s="107"/>
      <c r="T241" s="107"/>
      <c r="U241" s="107"/>
      <c r="V241" s="107"/>
      <c r="W241" s="107"/>
      <c r="X241" s="107"/>
      <c r="Y241" s="107"/>
      <c r="Z241" s="107"/>
      <c r="AA241" s="108"/>
      <c r="AB241" s="104"/>
      <c r="AC241" s="104"/>
      <c r="AD241" s="104"/>
    </row>
    <row r="242" spans="1:30" ht="89.25">
      <c r="A242" s="147"/>
      <c r="B242" s="83" t="s">
        <v>359</v>
      </c>
      <c r="C242" s="83" t="s">
        <v>1816</v>
      </c>
      <c r="D242" s="142"/>
      <c r="E242" s="83" t="s">
        <v>1371</v>
      </c>
      <c r="F242" s="83" t="s">
        <v>333</v>
      </c>
      <c r="G242" s="139" t="s">
        <v>188</v>
      </c>
      <c r="H242" s="128"/>
      <c r="I242" s="128"/>
      <c r="J242" s="128"/>
      <c r="K242" s="133"/>
      <c r="L242" s="107"/>
      <c r="M242" s="140"/>
      <c r="N242" s="107"/>
      <c r="O242" s="107"/>
      <c r="P242" s="107"/>
      <c r="Q242" s="107"/>
      <c r="R242" s="107"/>
      <c r="S242" s="107"/>
      <c r="T242" s="107"/>
      <c r="U242" s="107"/>
      <c r="V242" s="107"/>
      <c r="W242" s="107"/>
      <c r="X242" s="107"/>
      <c r="Y242" s="107"/>
      <c r="Z242" s="107"/>
      <c r="AA242" s="108"/>
      <c r="AB242" s="104"/>
      <c r="AC242" s="104"/>
      <c r="AD242" s="104"/>
    </row>
    <row r="243" spans="1:30" ht="165.75">
      <c r="A243" s="147"/>
      <c r="B243" s="83" t="s">
        <v>360</v>
      </c>
      <c r="C243" s="83" t="s">
        <v>1388</v>
      </c>
      <c r="D243" s="142"/>
      <c r="E243" s="83" t="s">
        <v>1389</v>
      </c>
      <c r="F243" s="83" t="s">
        <v>1390</v>
      </c>
      <c r="G243" s="139" t="s">
        <v>188</v>
      </c>
      <c r="H243" s="150"/>
      <c r="I243" s="128"/>
      <c r="J243" s="128"/>
      <c r="K243" s="133"/>
      <c r="L243" s="107"/>
      <c r="M243" s="140"/>
      <c r="N243" s="107"/>
      <c r="O243" s="107"/>
      <c r="P243" s="107"/>
      <c r="Q243" s="107"/>
      <c r="R243" s="107"/>
      <c r="S243" s="107"/>
      <c r="T243" s="107"/>
      <c r="U243" s="107"/>
      <c r="V243" s="107"/>
      <c r="W243" s="107"/>
      <c r="X243" s="107"/>
      <c r="Y243" s="107"/>
      <c r="Z243" s="107"/>
      <c r="AA243" s="108"/>
      <c r="AB243" s="104"/>
      <c r="AC243" s="104"/>
      <c r="AD243" s="104"/>
    </row>
    <row r="244" spans="1:30" ht="153">
      <c r="A244" s="147"/>
      <c r="B244" s="159" t="s">
        <v>1391</v>
      </c>
      <c r="C244" s="83" t="s">
        <v>1392</v>
      </c>
      <c r="D244" s="142"/>
      <c r="E244" s="83" t="s">
        <v>1829</v>
      </c>
      <c r="F244" s="83" t="s">
        <v>1393</v>
      </c>
      <c r="G244" s="139" t="s">
        <v>188</v>
      </c>
      <c r="H244" s="128"/>
      <c r="I244" s="128"/>
      <c r="J244" s="128"/>
      <c r="K244" s="133"/>
      <c r="L244" s="107"/>
      <c r="M244" s="140"/>
      <c r="N244" s="107"/>
      <c r="O244" s="107"/>
      <c r="P244" s="107"/>
      <c r="Q244" s="107"/>
      <c r="R244" s="107"/>
      <c r="S244" s="107"/>
      <c r="T244" s="107"/>
      <c r="U244" s="107"/>
      <c r="V244" s="107"/>
      <c r="W244" s="107"/>
      <c r="X244" s="107"/>
      <c r="Y244" s="107"/>
      <c r="Z244" s="107"/>
      <c r="AA244" s="108"/>
      <c r="AB244" s="104"/>
      <c r="AC244" s="104"/>
      <c r="AD244" s="104"/>
    </row>
    <row r="245" spans="1:30" ht="13.5">
      <c r="A245" s="262" t="s">
        <v>1394</v>
      </c>
      <c r="B245" s="237"/>
      <c r="C245" s="237"/>
      <c r="D245" s="237"/>
      <c r="E245" s="237"/>
      <c r="F245" s="237"/>
      <c r="G245" s="237"/>
      <c r="H245" s="237"/>
      <c r="I245" s="237"/>
      <c r="J245" s="238"/>
      <c r="K245" s="134"/>
      <c r="L245" s="107"/>
      <c r="M245" s="107"/>
      <c r="N245" s="107"/>
      <c r="O245" s="107"/>
      <c r="P245" s="107"/>
      <c r="Q245" s="107"/>
      <c r="R245" s="107"/>
      <c r="S245" s="107"/>
      <c r="T245" s="107"/>
      <c r="U245" s="107"/>
      <c r="V245" s="107"/>
      <c r="W245" s="107"/>
      <c r="X245" s="107"/>
      <c r="Y245" s="107"/>
      <c r="Z245" s="107"/>
      <c r="AA245" s="108"/>
      <c r="AB245" s="104"/>
      <c r="AC245" s="104"/>
      <c r="AD245" s="104"/>
    </row>
    <row r="246" spans="1:30" ht="153">
      <c r="A246" s="147"/>
      <c r="B246" s="83" t="s">
        <v>1395</v>
      </c>
      <c r="C246" s="83" t="s">
        <v>1816</v>
      </c>
      <c r="D246" s="142"/>
      <c r="E246" s="83" t="s">
        <v>1396</v>
      </c>
      <c r="F246" s="83" t="s">
        <v>1397</v>
      </c>
      <c r="G246" s="139" t="s">
        <v>188</v>
      </c>
      <c r="H246" s="128"/>
      <c r="I246" s="128"/>
      <c r="J246" s="128"/>
      <c r="K246" s="133"/>
      <c r="L246" s="107"/>
      <c r="M246" s="140"/>
      <c r="N246" s="107"/>
      <c r="O246" s="107"/>
      <c r="P246" s="107"/>
      <c r="Q246" s="107"/>
      <c r="R246" s="107"/>
      <c r="S246" s="107"/>
      <c r="T246" s="107"/>
      <c r="U246" s="107"/>
      <c r="V246" s="107"/>
      <c r="W246" s="107"/>
      <c r="X246" s="107"/>
      <c r="Y246" s="107"/>
      <c r="Z246" s="107"/>
      <c r="AA246" s="108"/>
      <c r="AB246" s="104"/>
      <c r="AC246" s="104"/>
      <c r="AD246" s="104"/>
    </row>
    <row r="247" spans="1:30" ht="127.5">
      <c r="A247" s="147"/>
      <c r="B247" s="83" t="s">
        <v>1830</v>
      </c>
      <c r="C247" s="128"/>
      <c r="D247" s="142"/>
      <c r="E247" s="128"/>
      <c r="F247" s="128"/>
      <c r="G247" s="139" t="s">
        <v>188</v>
      </c>
      <c r="H247" s="128"/>
      <c r="I247" s="128"/>
      <c r="J247" s="128"/>
      <c r="K247" s="133"/>
      <c r="L247" s="107"/>
      <c r="M247" s="105"/>
      <c r="N247" s="107"/>
      <c r="O247" s="107"/>
      <c r="P247" s="107"/>
      <c r="Q247" s="107"/>
      <c r="R247" s="107"/>
      <c r="S247" s="107"/>
      <c r="T247" s="107"/>
      <c r="U247" s="107"/>
      <c r="V247" s="107"/>
      <c r="W247" s="107"/>
      <c r="X247" s="107"/>
      <c r="Y247" s="107"/>
      <c r="Z247" s="107"/>
      <c r="AA247" s="108"/>
      <c r="AB247" s="104"/>
      <c r="AC247" s="104"/>
      <c r="AD247" s="104"/>
    </row>
    <row r="248" spans="1:30" ht="114.75">
      <c r="A248" s="147"/>
      <c r="B248" s="83" t="s">
        <v>374</v>
      </c>
      <c r="C248" s="83" t="s">
        <v>1831</v>
      </c>
      <c r="D248" s="142"/>
      <c r="E248" s="83" t="s">
        <v>1832</v>
      </c>
      <c r="F248" s="83" t="s">
        <v>377</v>
      </c>
      <c r="G248" s="139" t="s">
        <v>188</v>
      </c>
      <c r="H248" s="83"/>
      <c r="I248" s="128"/>
      <c r="J248" s="128"/>
      <c r="K248" s="133"/>
      <c r="L248" s="107"/>
      <c r="M248" s="140"/>
      <c r="N248" s="107"/>
      <c r="O248" s="107"/>
      <c r="P248" s="107"/>
      <c r="Q248" s="107"/>
      <c r="R248" s="107"/>
      <c r="S248" s="107"/>
      <c r="T248" s="107"/>
      <c r="U248" s="107"/>
      <c r="V248" s="107"/>
      <c r="W248" s="107"/>
      <c r="X248" s="107"/>
      <c r="Y248" s="107"/>
      <c r="Z248" s="107"/>
      <c r="AA248" s="108"/>
      <c r="AB248" s="104"/>
      <c r="AC248" s="104"/>
      <c r="AD248" s="104"/>
    </row>
    <row r="249" spans="1:30" ht="114.75">
      <c r="A249" s="147"/>
      <c r="B249" s="83" t="s">
        <v>378</v>
      </c>
      <c r="C249" s="83" t="s">
        <v>1831</v>
      </c>
      <c r="D249" s="142"/>
      <c r="E249" s="83" t="s">
        <v>1398</v>
      </c>
      <c r="F249" s="83" t="s">
        <v>380</v>
      </c>
      <c r="G249" s="139" t="s">
        <v>188</v>
      </c>
      <c r="H249" s="82"/>
      <c r="I249" s="128"/>
      <c r="J249" s="128"/>
      <c r="K249" s="133"/>
      <c r="L249" s="107"/>
      <c r="M249" s="140"/>
      <c r="N249" s="107"/>
      <c r="O249" s="107"/>
      <c r="P249" s="107"/>
      <c r="Q249" s="107"/>
      <c r="R249" s="107"/>
      <c r="S249" s="107"/>
      <c r="T249" s="107"/>
      <c r="U249" s="107"/>
      <c r="V249" s="107"/>
      <c r="W249" s="107"/>
      <c r="X249" s="107"/>
      <c r="Y249" s="107"/>
      <c r="Z249" s="107"/>
      <c r="AA249" s="108"/>
      <c r="AB249" s="104"/>
      <c r="AC249" s="104"/>
      <c r="AD249" s="104"/>
    </row>
    <row r="250" spans="1:30" ht="140.25">
      <c r="A250" s="147"/>
      <c r="B250" s="83" t="s">
        <v>381</v>
      </c>
      <c r="C250" s="83" t="s">
        <v>1833</v>
      </c>
      <c r="D250" s="142"/>
      <c r="E250" s="83" t="s">
        <v>1399</v>
      </c>
      <c r="F250" s="83" t="s">
        <v>384</v>
      </c>
      <c r="G250" s="139" t="s">
        <v>188</v>
      </c>
      <c r="H250" s="128"/>
      <c r="I250" s="128"/>
      <c r="J250" s="128"/>
      <c r="K250" s="133"/>
      <c r="L250" s="107"/>
      <c r="M250" s="140"/>
      <c r="N250" s="107"/>
      <c r="O250" s="107"/>
      <c r="P250" s="107"/>
      <c r="Q250" s="107"/>
      <c r="R250" s="107"/>
      <c r="S250" s="107"/>
      <c r="T250" s="107"/>
      <c r="U250" s="107"/>
      <c r="V250" s="107"/>
      <c r="W250" s="107"/>
      <c r="X250" s="107"/>
      <c r="Y250" s="107"/>
      <c r="Z250" s="107"/>
      <c r="AA250" s="108"/>
      <c r="AB250" s="104"/>
      <c r="AC250" s="104"/>
      <c r="AD250" s="104"/>
    </row>
    <row r="251" spans="1:30" ht="165.75">
      <c r="A251" s="147"/>
      <c r="B251" s="83" t="s">
        <v>1834</v>
      </c>
      <c r="C251" s="128"/>
      <c r="D251" s="142"/>
      <c r="E251" s="128"/>
      <c r="F251" s="128"/>
      <c r="G251" s="139" t="s">
        <v>188</v>
      </c>
      <c r="H251" s="128"/>
      <c r="I251" s="128"/>
      <c r="J251" s="128"/>
      <c r="K251" s="133"/>
      <c r="L251" s="107"/>
      <c r="M251" s="105"/>
      <c r="N251" s="107"/>
      <c r="O251" s="107"/>
      <c r="P251" s="107"/>
      <c r="Q251" s="107"/>
      <c r="R251" s="107"/>
      <c r="S251" s="107"/>
      <c r="T251" s="107"/>
      <c r="U251" s="107"/>
      <c r="V251" s="107"/>
      <c r="W251" s="107"/>
      <c r="X251" s="107"/>
      <c r="Y251" s="107"/>
      <c r="Z251" s="107"/>
      <c r="AA251" s="108"/>
      <c r="AB251" s="104"/>
      <c r="AC251" s="104"/>
      <c r="AD251" s="104"/>
    </row>
    <row r="252" spans="1:30" ht="114.75">
      <c r="A252" s="147"/>
      <c r="B252" s="159" t="s">
        <v>385</v>
      </c>
      <c r="C252" s="83" t="s">
        <v>1831</v>
      </c>
      <c r="D252" s="142"/>
      <c r="E252" s="83" t="s">
        <v>1400</v>
      </c>
      <c r="F252" s="83" t="s">
        <v>387</v>
      </c>
      <c r="G252" s="139" t="s">
        <v>188</v>
      </c>
      <c r="H252" s="128"/>
      <c r="I252" s="128"/>
      <c r="J252" s="128"/>
      <c r="K252" s="133"/>
      <c r="L252" s="107"/>
      <c r="M252" s="140"/>
      <c r="N252" s="107"/>
      <c r="O252" s="107"/>
      <c r="P252" s="107"/>
      <c r="Q252" s="107"/>
      <c r="R252" s="107"/>
      <c r="S252" s="107"/>
      <c r="T252" s="107"/>
      <c r="U252" s="107"/>
      <c r="V252" s="107"/>
      <c r="W252" s="107"/>
      <c r="X252" s="107"/>
      <c r="Y252" s="107"/>
      <c r="Z252" s="107"/>
      <c r="AA252" s="108"/>
      <c r="AB252" s="104"/>
      <c r="AC252" s="104"/>
      <c r="AD252" s="104"/>
    </row>
    <row r="253" spans="1:30" ht="114.75">
      <c r="A253" s="147"/>
      <c r="B253" s="83" t="s">
        <v>1401</v>
      </c>
      <c r="C253" s="83" t="s">
        <v>1831</v>
      </c>
      <c r="D253" s="142"/>
      <c r="E253" s="83" t="s">
        <v>1402</v>
      </c>
      <c r="F253" s="83" t="s">
        <v>390</v>
      </c>
      <c r="G253" s="139" t="s">
        <v>188</v>
      </c>
      <c r="H253" s="128"/>
      <c r="I253" s="128"/>
      <c r="J253" s="128"/>
      <c r="K253" s="133"/>
      <c r="L253" s="107"/>
      <c r="M253" s="140"/>
      <c r="N253" s="107"/>
      <c r="O253" s="107"/>
      <c r="P253" s="107"/>
      <c r="Q253" s="107"/>
      <c r="R253" s="107"/>
      <c r="S253" s="107"/>
      <c r="T253" s="107"/>
      <c r="U253" s="107"/>
      <c r="V253" s="107"/>
      <c r="W253" s="107"/>
      <c r="X253" s="107"/>
      <c r="Y253" s="107"/>
      <c r="Z253" s="107"/>
      <c r="AA253" s="108"/>
      <c r="AB253" s="104"/>
      <c r="AC253" s="104"/>
      <c r="AD253" s="104"/>
    </row>
    <row r="254" spans="1:30" ht="114.75">
      <c r="A254" s="147"/>
      <c r="B254" s="159" t="s">
        <v>1403</v>
      </c>
      <c r="C254" s="83" t="s">
        <v>1831</v>
      </c>
      <c r="D254" s="142"/>
      <c r="E254" s="83" t="s">
        <v>392</v>
      </c>
      <c r="F254" s="83" t="s">
        <v>393</v>
      </c>
      <c r="G254" s="139" t="s">
        <v>188</v>
      </c>
      <c r="H254" s="83"/>
      <c r="I254" s="128"/>
      <c r="J254" s="128"/>
      <c r="K254" s="133"/>
      <c r="L254" s="107"/>
      <c r="M254" s="140"/>
      <c r="N254" s="107"/>
      <c r="O254" s="107"/>
      <c r="P254" s="107"/>
      <c r="Q254" s="107"/>
      <c r="R254" s="107"/>
      <c r="S254" s="107"/>
      <c r="T254" s="107"/>
      <c r="U254" s="107"/>
      <c r="V254" s="107"/>
      <c r="W254" s="107"/>
      <c r="X254" s="107"/>
      <c r="Y254" s="107"/>
      <c r="Z254" s="107"/>
      <c r="AA254" s="108"/>
      <c r="AB254" s="104"/>
      <c r="AC254" s="104"/>
      <c r="AD254" s="104"/>
    </row>
    <row r="255" spans="1:30" ht="114.75">
      <c r="A255" s="147"/>
      <c r="B255" s="83" t="s">
        <v>1404</v>
      </c>
      <c r="C255" s="83" t="s">
        <v>1831</v>
      </c>
      <c r="D255" s="142"/>
      <c r="E255" s="83" t="s">
        <v>1405</v>
      </c>
      <c r="F255" s="83" t="s">
        <v>1406</v>
      </c>
      <c r="G255" s="139" t="s">
        <v>188</v>
      </c>
      <c r="H255" s="128"/>
      <c r="I255" s="128"/>
      <c r="J255" s="128"/>
      <c r="K255" s="133"/>
      <c r="L255" s="107"/>
      <c r="M255" s="140"/>
      <c r="N255" s="107"/>
      <c r="O255" s="107"/>
      <c r="P255" s="107"/>
      <c r="Q255" s="107"/>
      <c r="R255" s="107"/>
      <c r="S255" s="107"/>
      <c r="T255" s="107"/>
      <c r="U255" s="107"/>
      <c r="V255" s="107"/>
      <c r="W255" s="107"/>
      <c r="X255" s="107"/>
      <c r="Y255" s="107"/>
      <c r="Z255" s="107"/>
      <c r="AA255" s="108"/>
      <c r="AB255" s="104"/>
      <c r="AC255" s="104"/>
      <c r="AD255" s="104"/>
    </row>
    <row r="256" spans="1:30" ht="229.5">
      <c r="A256" s="147"/>
      <c r="B256" s="83" t="s">
        <v>397</v>
      </c>
      <c r="C256" s="83" t="s">
        <v>1831</v>
      </c>
      <c r="D256" s="142"/>
      <c r="E256" s="83" t="s">
        <v>1407</v>
      </c>
      <c r="F256" s="83" t="s">
        <v>1375</v>
      </c>
      <c r="G256" s="139" t="s">
        <v>188</v>
      </c>
      <c r="H256" s="128"/>
      <c r="I256" s="128"/>
      <c r="J256" s="128"/>
      <c r="K256" s="133"/>
      <c r="L256" s="107"/>
      <c r="M256" s="140"/>
      <c r="N256" s="107"/>
      <c r="O256" s="107"/>
      <c r="P256" s="107"/>
      <c r="Q256" s="107"/>
      <c r="R256" s="107"/>
      <c r="S256" s="107"/>
      <c r="T256" s="107"/>
      <c r="U256" s="107"/>
      <c r="V256" s="107"/>
      <c r="W256" s="107"/>
      <c r="X256" s="107"/>
      <c r="Y256" s="107"/>
      <c r="Z256" s="107"/>
      <c r="AA256" s="108"/>
      <c r="AB256" s="104"/>
      <c r="AC256" s="104"/>
      <c r="AD256" s="104"/>
    </row>
    <row r="257" spans="1:30" ht="114.75">
      <c r="A257" s="147"/>
      <c r="B257" s="83" t="s">
        <v>399</v>
      </c>
      <c r="C257" s="83" t="s">
        <v>1831</v>
      </c>
      <c r="D257" s="142"/>
      <c r="E257" s="83" t="s">
        <v>1835</v>
      </c>
      <c r="F257" s="83" t="s">
        <v>1387</v>
      </c>
      <c r="G257" s="139" t="s">
        <v>188</v>
      </c>
      <c r="H257" s="128"/>
      <c r="I257" s="128"/>
      <c r="J257" s="128"/>
      <c r="K257" s="133"/>
      <c r="L257" s="107"/>
      <c r="M257" s="140"/>
      <c r="N257" s="107"/>
      <c r="O257" s="107"/>
      <c r="P257" s="107"/>
      <c r="Q257" s="107"/>
      <c r="R257" s="107"/>
      <c r="S257" s="107"/>
      <c r="T257" s="107"/>
      <c r="U257" s="107"/>
      <c r="V257" s="107"/>
      <c r="W257" s="107"/>
      <c r="X257" s="107"/>
      <c r="Y257" s="107"/>
      <c r="Z257" s="107"/>
      <c r="AA257" s="108"/>
      <c r="AB257" s="104"/>
      <c r="AC257" s="104"/>
      <c r="AD257" s="104"/>
    </row>
    <row r="258" spans="1:30" ht="13.5">
      <c r="A258" s="262" t="s">
        <v>1408</v>
      </c>
      <c r="B258" s="237"/>
      <c r="C258" s="237"/>
      <c r="D258" s="237"/>
      <c r="E258" s="237"/>
      <c r="F258" s="237"/>
      <c r="G258" s="237"/>
      <c r="H258" s="237"/>
      <c r="I258" s="237"/>
      <c r="J258" s="238"/>
      <c r="K258" s="134"/>
      <c r="L258" s="107"/>
      <c r="M258" s="107"/>
      <c r="N258" s="107"/>
      <c r="O258" s="107"/>
      <c r="P258" s="107"/>
      <c r="Q258" s="107"/>
      <c r="R258" s="107"/>
      <c r="S258" s="107"/>
      <c r="T258" s="107"/>
      <c r="U258" s="107"/>
      <c r="V258" s="107"/>
      <c r="W258" s="107"/>
      <c r="X258" s="107"/>
      <c r="Y258" s="107"/>
      <c r="Z258" s="107"/>
      <c r="AA258" s="108"/>
      <c r="AB258" s="104"/>
      <c r="AC258" s="104"/>
      <c r="AD258" s="104"/>
    </row>
    <row r="259" spans="1:30" ht="76.5">
      <c r="A259" s="147"/>
      <c r="B259" s="83" t="s">
        <v>1409</v>
      </c>
      <c r="C259" s="83" t="s">
        <v>1410</v>
      </c>
      <c r="D259" s="142"/>
      <c r="E259" s="83" t="s">
        <v>1411</v>
      </c>
      <c r="F259" s="83" t="s">
        <v>1412</v>
      </c>
      <c r="G259" s="139" t="s">
        <v>188</v>
      </c>
      <c r="H259" s="128"/>
      <c r="I259" s="128"/>
      <c r="J259" s="128"/>
      <c r="K259" s="133"/>
      <c r="L259" s="107"/>
      <c r="M259" s="140"/>
      <c r="N259" s="107"/>
      <c r="O259" s="107"/>
      <c r="P259" s="107"/>
      <c r="Q259" s="107"/>
      <c r="R259" s="107"/>
      <c r="S259" s="107"/>
      <c r="T259" s="107"/>
      <c r="U259" s="107"/>
      <c r="V259" s="107"/>
      <c r="W259" s="107"/>
      <c r="X259" s="107"/>
      <c r="Y259" s="107"/>
      <c r="Z259" s="107"/>
      <c r="AA259" s="108"/>
      <c r="AB259" s="104"/>
      <c r="AC259" s="104"/>
      <c r="AD259" s="104"/>
    </row>
    <row r="260" spans="1:30" ht="114.75">
      <c r="A260" s="147"/>
      <c r="B260" s="83" t="s">
        <v>1413</v>
      </c>
      <c r="C260" s="83" t="s">
        <v>1410</v>
      </c>
      <c r="D260" s="142"/>
      <c r="E260" s="83" t="s">
        <v>1414</v>
      </c>
      <c r="F260" s="83" t="s">
        <v>429</v>
      </c>
      <c r="G260" s="139" t="s">
        <v>188</v>
      </c>
      <c r="H260" s="83"/>
      <c r="I260" s="128"/>
      <c r="J260" s="128"/>
      <c r="K260" s="133"/>
      <c r="L260" s="107"/>
      <c r="M260" s="140"/>
      <c r="N260" s="107"/>
      <c r="O260" s="107"/>
      <c r="P260" s="107"/>
      <c r="Q260" s="107"/>
      <c r="R260" s="107"/>
      <c r="S260" s="107"/>
      <c r="T260" s="107"/>
      <c r="U260" s="107"/>
      <c r="V260" s="107"/>
      <c r="W260" s="107"/>
      <c r="X260" s="107"/>
      <c r="Y260" s="107"/>
      <c r="Z260" s="107"/>
      <c r="AA260" s="108"/>
      <c r="AB260" s="104"/>
      <c r="AC260" s="104"/>
      <c r="AD260" s="104"/>
    </row>
    <row r="261" spans="1:30" ht="140.25">
      <c r="A261" s="147"/>
      <c r="B261" s="83" t="s">
        <v>1836</v>
      </c>
      <c r="C261" s="128"/>
      <c r="D261" s="142"/>
      <c r="E261" s="128"/>
      <c r="F261" s="128"/>
      <c r="G261" s="139" t="s">
        <v>188</v>
      </c>
      <c r="H261" s="128"/>
      <c r="I261" s="128"/>
      <c r="J261" s="128"/>
      <c r="K261" s="133"/>
      <c r="L261" s="107"/>
      <c r="M261" s="105"/>
      <c r="N261" s="107"/>
      <c r="O261" s="107"/>
      <c r="P261" s="107"/>
      <c r="Q261" s="107"/>
      <c r="R261" s="107"/>
      <c r="S261" s="107"/>
      <c r="T261" s="107"/>
      <c r="U261" s="107"/>
      <c r="V261" s="107"/>
      <c r="W261" s="107"/>
      <c r="X261" s="107"/>
      <c r="Y261" s="107"/>
      <c r="Z261" s="107"/>
      <c r="AA261" s="108"/>
      <c r="AB261" s="104"/>
      <c r="AC261" s="104"/>
      <c r="AD261" s="104"/>
    </row>
    <row r="262" spans="1:30" ht="63.75">
      <c r="A262" s="147"/>
      <c r="B262" s="83" t="s">
        <v>1415</v>
      </c>
      <c r="C262" s="83" t="s">
        <v>1410</v>
      </c>
      <c r="D262" s="142"/>
      <c r="E262" s="83" t="s">
        <v>1837</v>
      </c>
      <c r="F262" s="83" t="s">
        <v>432</v>
      </c>
      <c r="G262" s="139" t="s">
        <v>188</v>
      </c>
      <c r="H262" s="83"/>
      <c r="I262" s="128"/>
      <c r="J262" s="128"/>
      <c r="K262" s="133"/>
      <c r="L262" s="107"/>
      <c r="M262" s="140"/>
      <c r="N262" s="107"/>
      <c r="O262" s="107"/>
      <c r="P262" s="107"/>
      <c r="Q262" s="107"/>
      <c r="R262" s="107"/>
      <c r="S262" s="107"/>
      <c r="T262" s="107"/>
      <c r="U262" s="107"/>
      <c r="V262" s="107"/>
      <c r="W262" s="107"/>
      <c r="X262" s="107"/>
      <c r="Y262" s="107"/>
      <c r="Z262" s="107"/>
      <c r="AA262" s="108"/>
      <c r="AB262" s="104"/>
      <c r="AC262" s="104"/>
      <c r="AD262" s="104"/>
    </row>
    <row r="263" spans="1:30" ht="153">
      <c r="A263" s="147"/>
      <c r="B263" s="83" t="s">
        <v>1838</v>
      </c>
      <c r="C263" s="128"/>
      <c r="D263" s="142"/>
      <c r="E263" s="128"/>
      <c r="F263" s="128"/>
      <c r="G263" s="139" t="s">
        <v>188</v>
      </c>
      <c r="H263" s="128"/>
      <c r="I263" s="128"/>
      <c r="J263" s="128"/>
      <c r="K263" s="133"/>
      <c r="L263" s="107"/>
      <c r="M263" s="105"/>
      <c r="N263" s="107"/>
      <c r="O263" s="107"/>
      <c r="P263" s="107"/>
      <c r="Q263" s="107"/>
      <c r="R263" s="107"/>
      <c r="S263" s="107"/>
      <c r="T263" s="107"/>
      <c r="U263" s="107"/>
      <c r="V263" s="107"/>
      <c r="W263" s="107"/>
      <c r="X263" s="107"/>
      <c r="Y263" s="107"/>
      <c r="Z263" s="107"/>
      <c r="AA263" s="108"/>
      <c r="AB263" s="104"/>
      <c r="AC263" s="104"/>
      <c r="AD263" s="104"/>
    </row>
    <row r="264" spans="1:30" ht="89.25">
      <c r="A264" s="147"/>
      <c r="B264" s="83" t="s">
        <v>1416</v>
      </c>
      <c r="C264" s="83" t="s">
        <v>1410</v>
      </c>
      <c r="D264" s="142"/>
      <c r="E264" s="83" t="s">
        <v>1417</v>
      </c>
      <c r="F264" s="83" t="s">
        <v>1418</v>
      </c>
      <c r="G264" s="139" t="s">
        <v>188</v>
      </c>
      <c r="H264" s="128"/>
      <c r="I264" s="128"/>
      <c r="J264" s="128"/>
      <c r="K264" s="133"/>
      <c r="L264" s="107"/>
      <c r="M264" s="140"/>
      <c r="N264" s="107"/>
      <c r="O264" s="107"/>
      <c r="P264" s="107"/>
      <c r="Q264" s="107"/>
      <c r="R264" s="107"/>
      <c r="S264" s="107"/>
      <c r="T264" s="107"/>
      <c r="U264" s="107"/>
      <c r="V264" s="107"/>
      <c r="W264" s="107"/>
      <c r="X264" s="107"/>
      <c r="Y264" s="107"/>
      <c r="Z264" s="107"/>
      <c r="AA264" s="108"/>
      <c r="AB264" s="104"/>
      <c r="AC264" s="104"/>
      <c r="AD264" s="104"/>
    </row>
    <row r="265" spans="1:30" ht="63.75">
      <c r="A265" s="147"/>
      <c r="B265" s="83" t="s">
        <v>1419</v>
      </c>
      <c r="C265" s="83" t="s">
        <v>1410</v>
      </c>
      <c r="D265" s="142"/>
      <c r="E265" s="83" t="s">
        <v>1839</v>
      </c>
      <c r="F265" s="83" t="s">
        <v>437</v>
      </c>
      <c r="G265" s="139" t="s">
        <v>188</v>
      </c>
      <c r="H265" s="128"/>
      <c r="I265" s="128"/>
      <c r="J265" s="128"/>
      <c r="K265" s="133"/>
      <c r="L265" s="107"/>
      <c r="M265" s="140"/>
      <c r="N265" s="107"/>
      <c r="O265" s="107"/>
      <c r="P265" s="107"/>
      <c r="Q265" s="107"/>
      <c r="R265" s="107"/>
      <c r="S265" s="107"/>
      <c r="T265" s="107"/>
      <c r="U265" s="107"/>
      <c r="V265" s="107"/>
      <c r="W265" s="107"/>
      <c r="X265" s="107"/>
      <c r="Y265" s="107"/>
      <c r="Z265" s="107"/>
      <c r="AA265" s="108"/>
      <c r="AB265" s="104"/>
      <c r="AC265" s="104"/>
      <c r="AD265" s="104"/>
    </row>
    <row r="266" spans="1:30" ht="63.75">
      <c r="A266" s="147"/>
      <c r="B266" s="83" t="s">
        <v>1420</v>
      </c>
      <c r="C266" s="83" t="s">
        <v>1410</v>
      </c>
      <c r="D266" s="142"/>
      <c r="E266" s="83" t="s">
        <v>1421</v>
      </c>
      <c r="F266" s="83" t="s">
        <v>440</v>
      </c>
      <c r="G266" s="139" t="s">
        <v>188</v>
      </c>
      <c r="H266" s="128"/>
      <c r="I266" s="128"/>
      <c r="J266" s="128"/>
      <c r="K266" s="133"/>
      <c r="L266" s="107"/>
      <c r="M266" s="140"/>
      <c r="N266" s="107"/>
      <c r="O266" s="107"/>
      <c r="P266" s="107"/>
      <c r="Q266" s="107"/>
      <c r="R266" s="107"/>
      <c r="S266" s="107"/>
      <c r="T266" s="107"/>
      <c r="U266" s="107"/>
      <c r="V266" s="107"/>
      <c r="W266" s="107"/>
      <c r="X266" s="107"/>
      <c r="Y266" s="107"/>
      <c r="Z266" s="107"/>
      <c r="AA266" s="108"/>
      <c r="AB266" s="104"/>
      <c r="AC266" s="104"/>
      <c r="AD266" s="104"/>
    </row>
    <row r="267" spans="1:30" ht="63.75">
      <c r="A267" s="147"/>
      <c r="B267" s="83" t="s">
        <v>441</v>
      </c>
      <c r="C267" s="83" t="s">
        <v>1410</v>
      </c>
      <c r="D267" s="142"/>
      <c r="E267" s="83" t="s">
        <v>1422</v>
      </c>
      <c r="F267" s="83" t="s">
        <v>1423</v>
      </c>
      <c r="G267" s="139" t="s">
        <v>188</v>
      </c>
      <c r="H267" s="128"/>
      <c r="I267" s="128"/>
      <c r="J267" s="128"/>
      <c r="K267" s="133"/>
      <c r="L267" s="107"/>
      <c r="M267" s="140"/>
      <c r="N267" s="107"/>
      <c r="O267" s="107"/>
      <c r="P267" s="107"/>
      <c r="Q267" s="107"/>
      <c r="R267" s="107"/>
      <c r="S267" s="107"/>
      <c r="T267" s="107"/>
      <c r="U267" s="107"/>
      <c r="V267" s="107"/>
      <c r="W267" s="107"/>
      <c r="X267" s="107"/>
      <c r="Y267" s="107"/>
      <c r="Z267" s="107"/>
      <c r="AA267" s="108"/>
      <c r="AB267" s="104"/>
      <c r="AC267" s="104"/>
      <c r="AD267" s="104"/>
    </row>
    <row r="268" spans="1:30" ht="114.75">
      <c r="A268" s="147"/>
      <c r="B268" s="83" t="s">
        <v>1424</v>
      </c>
      <c r="C268" s="83" t="s">
        <v>1410</v>
      </c>
      <c r="D268" s="142"/>
      <c r="E268" s="83" t="s">
        <v>1425</v>
      </c>
      <c r="F268" s="83" t="s">
        <v>1426</v>
      </c>
      <c r="G268" s="139" t="s">
        <v>188</v>
      </c>
      <c r="H268" s="128"/>
      <c r="I268" s="128"/>
      <c r="J268" s="128"/>
      <c r="K268" s="133"/>
      <c r="L268" s="107"/>
      <c r="M268" s="140"/>
      <c r="N268" s="107"/>
      <c r="O268" s="107"/>
      <c r="P268" s="107"/>
      <c r="Q268" s="107"/>
      <c r="R268" s="107"/>
      <c r="S268" s="107"/>
      <c r="T268" s="107"/>
      <c r="U268" s="107"/>
      <c r="V268" s="107"/>
      <c r="W268" s="107"/>
      <c r="X268" s="107"/>
      <c r="Y268" s="107"/>
      <c r="Z268" s="107"/>
      <c r="AA268" s="108"/>
      <c r="AB268" s="104"/>
      <c r="AC268" s="104"/>
      <c r="AD268" s="104"/>
    </row>
    <row r="269" spans="1:30" ht="229.5">
      <c r="A269" s="147"/>
      <c r="B269" s="83" t="s">
        <v>1427</v>
      </c>
      <c r="C269" s="83" t="s">
        <v>1410</v>
      </c>
      <c r="D269" s="142"/>
      <c r="E269" s="83" t="s">
        <v>1840</v>
      </c>
      <c r="F269" s="83" t="s">
        <v>1375</v>
      </c>
      <c r="G269" s="139" t="s">
        <v>188</v>
      </c>
      <c r="H269" s="128"/>
      <c r="I269" s="128"/>
      <c r="J269" s="128"/>
      <c r="K269" s="133"/>
      <c r="L269" s="107"/>
      <c r="M269" s="140"/>
      <c r="N269" s="107"/>
      <c r="O269" s="107"/>
      <c r="P269" s="107"/>
      <c r="Q269" s="107"/>
      <c r="R269" s="107"/>
      <c r="S269" s="107"/>
      <c r="T269" s="107"/>
      <c r="U269" s="107"/>
      <c r="V269" s="107"/>
      <c r="W269" s="107"/>
      <c r="X269" s="107"/>
      <c r="Y269" s="107"/>
      <c r="Z269" s="107"/>
      <c r="AA269" s="108"/>
      <c r="AB269" s="104"/>
      <c r="AC269" s="104"/>
      <c r="AD269" s="104"/>
    </row>
    <row r="270" spans="1:30" ht="13.5">
      <c r="A270" s="262" t="s">
        <v>456</v>
      </c>
      <c r="B270" s="237"/>
      <c r="C270" s="237"/>
      <c r="D270" s="237"/>
      <c r="E270" s="237"/>
      <c r="F270" s="237"/>
      <c r="G270" s="237"/>
      <c r="H270" s="237"/>
      <c r="I270" s="237"/>
      <c r="J270" s="238"/>
      <c r="K270" s="134"/>
      <c r="L270" s="107"/>
      <c r="M270" s="107"/>
      <c r="N270" s="107"/>
      <c r="O270" s="107"/>
      <c r="P270" s="107"/>
      <c r="Q270" s="107"/>
      <c r="R270" s="107"/>
      <c r="S270" s="107"/>
      <c r="T270" s="107"/>
      <c r="U270" s="107"/>
      <c r="V270" s="107"/>
      <c r="W270" s="107"/>
      <c r="X270" s="107"/>
      <c r="Y270" s="107"/>
      <c r="Z270" s="107"/>
      <c r="AA270" s="108"/>
      <c r="AB270" s="104"/>
      <c r="AC270" s="104"/>
      <c r="AD270" s="104"/>
    </row>
    <row r="271" spans="1:30" ht="102">
      <c r="A271" s="147"/>
      <c r="B271" s="83" t="s">
        <v>1841</v>
      </c>
      <c r="C271" s="83" t="s">
        <v>1842</v>
      </c>
      <c r="D271" s="142"/>
      <c r="E271" s="83" t="s">
        <v>1843</v>
      </c>
      <c r="F271" s="83" t="s">
        <v>1844</v>
      </c>
      <c r="G271" s="139" t="s">
        <v>188</v>
      </c>
      <c r="H271" s="128"/>
      <c r="I271" s="128"/>
      <c r="J271" s="128"/>
      <c r="K271" s="133"/>
      <c r="L271" s="107"/>
      <c r="M271" s="140"/>
      <c r="N271" s="107"/>
      <c r="O271" s="107"/>
      <c r="P271" s="107"/>
      <c r="Q271" s="107"/>
      <c r="R271" s="107"/>
      <c r="S271" s="107"/>
      <c r="T271" s="107"/>
      <c r="U271" s="107"/>
      <c r="V271" s="107"/>
      <c r="W271" s="107"/>
      <c r="X271" s="107"/>
      <c r="Y271" s="107"/>
      <c r="Z271" s="107"/>
      <c r="AA271" s="108"/>
      <c r="AB271" s="104"/>
      <c r="AC271" s="104"/>
      <c r="AD271" s="104"/>
    </row>
    <row r="272" spans="1:30" ht="25.5">
      <c r="A272" s="147"/>
      <c r="B272" s="83" t="s">
        <v>1428</v>
      </c>
      <c r="C272" s="128"/>
      <c r="D272" s="142"/>
      <c r="E272" s="128"/>
      <c r="F272" s="128"/>
      <c r="G272" s="139" t="s">
        <v>188</v>
      </c>
      <c r="H272" s="128"/>
      <c r="I272" s="128"/>
      <c r="J272" s="128"/>
      <c r="K272" s="133"/>
      <c r="L272" s="107"/>
      <c r="M272" s="105"/>
      <c r="N272" s="107"/>
      <c r="O272" s="107"/>
      <c r="P272" s="107"/>
      <c r="Q272" s="107"/>
      <c r="R272" s="107"/>
      <c r="S272" s="107"/>
      <c r="T272" s="107"/>
      <c r="U272" s="107"/>
      <c r="V272" s="107"/>
      <c r="W272" s="107"/>
      <c r="X272" s="107"/>
      <c r="Y272" s="107"/>
      <c r="Z272" s="107"/>
      <c r="AA272" s="108"/>
      <c r="AB272" s="104"/>
      <c r="AC272" s="104"/>
      <c r="AD272" s="104"/>
    </row>
    <row r="273" spans="1:30" ht="229.5">
      <c r="A273" s="147"/>
      <c r="B273" s="83" t="s">
        <v>1845</v>
      </c>
      <c r="C273" s="128"/>
      <c r="D273" s="142"/>
      <c r="E273" s="128"/>
      <c r="F273" s="128"/>
      <c r="G273" s="139" t="s">
        <v>188</v>
      </c>
      <c r="H273" s="83"/>
      <c r="I273" s="128"/>
      <c r="J273" s="128"/>
      <c r="K273" s="133"/>
      <c r="L273" s="107"/>
      <c r="M273" s="105"/>
      <c r="N273" s="107"/>
      <c r="O273" s="107"/>
      <c r="P273" s="107"/>
      <c r="Q273" s="107"/>
      <c r="R273" s="107"/>
      <c r="S273" s="107"/>
      <c r="T273" s="107"/>
      <c r="U273" s="107"/>
      <c r="V273" s="107"/>
      <c r="W273" s="107"/>
      <c r="X273" s="107"/>
      <c r="Y273" s="107"/>
      <c r="Z273" s="107"/>
      <c r="AA273" s="108"/>
      <c r="AB273" s="104"/>
      <c r="AC273" s="104"/>
      <c r="AD273" s="104"/>
    </row>
    <row r="274" spans="1:30" ht="89.25">
      <c r="A274" s="147"/>
      <c r="B274" s="83" t="s">
        <v>1429</v>
      </c>
      <c r="C274" s="83" t="s">
        <v>1842</v>
      </c>
      <c r="D274" s="142"/>
      <c r="E274" s="83" t="s">
        <v>1846</v>
      </c>
      <c r="F274" s="83" t="s">
        <v>1847</v>
      </c>
      <c r="G274" s="139" t="s">
        <v>188</v>
      </c>
      <c r="H274" s="128"/>
      <c r="I274" s="128"/>
      <c r="J274" s="128"/>
      <c r="K274" s="133"/>
      <c r="L274" s="107"/>
      <c r="M274" s="140"/>
      <c r="N274" s="107"/>
      <c r="O274" s="107"/>
      <c r="P274" s="107"/>
      <c r="Q274" s="107"/>
      <c r="R274" s="107"/>
      <c r="S274" s="107"/>
      <c r="T274" s="107"/>
      <c r="U274" s="107"/>
      <c r="V274" s="107"/>
      <c r="W274" s="107"/>
      <c r="X274" s="107"/>
      <c r="Y274" s="107"/>
      <c r="Z274" s="107"/>
      <c r="AA274" s="108"/>
      <c r="AB274" s="104"/>
      <c r="AC274" s="104"/>
      <c r="AD274" s="104"/>
    </row>
    <row r="275" spans="1:30" ht="255">
      <c r="A275" s="147"/>
      <c r="B275" s="83" t="s">
        <v>1848</v>
      </c>
      <c r="C275" s="128"/>
      <c r="D275" s="142"/>
      <c r="E275" s="128"/>
      <c r="F275" s="128"/>
      <c r="G275" s="139" t="s">
        <v>188</v>
      </c>
      <c r="H275" s="146"/>
      <c r="I275" s="128"/>
      <c r="J275" s="128"/>
      <c r="K275" s="133"/>
      <c r="L275" s="107"/>
      <c r="M275" s="105"/>
      <c r="N275" s="107"/>
      <c r="O275" s="107"/>
      <c r="P275" s="107"/>
      <c r="Q275" s="107"/>
      <c r="R275" s="107"/>
      <c r="S275" s="107"/>
      <c r="T275" s="107"/>
      <c r="U275" s="107"/>
      <c r="V275" s="107"/>
      <c r="W275" s="107"/>
      <c r="X275" s="107"/>
      <c r="Y275" s="107"/>
      <c r="Z275" s="107"/>
      <c r="AA275" s="108"/>
      <c r="AB275" s="104"/>
      <c r="AC275" s="104"/>
      <c r="AD275" s="104"/>
    </row>
    <row r="276" spans="1:30" ht="102">
      <c r="A276" s="147"/>
      <c r="B276" s="83" t="s">
        <v>1430</v>
      </c>
      <c r="C276" s="83" t="s">
        <v>1842</v>
      </c>
      <c r="D276" s="142"/>
      <c r="E276" s="83" t="s">
        <v>1849</v>
      </c>
      <c r="F276" s="83" t="s">
        <v>1850</v>
      </c>
      <c r="G276" s="139" t="s">
        <v>188</v>
      </c>
      <c r="H276" s="128"/>
      <c r="I276" s="128"/>
      <c r="J276" s="128"/>
      <c r="K276" s="133"/>
      <c r="L276" s="107"/>
      <c r="M276" s="140"/>
      <c r="N276" s="107"/>
      <c r="O276" s="107"/>
      <c r="P276" s="107"/>
      <c r="Q276" s="107"/>
      <c r="R276" s="107"/>
      <c r="S276" s="107"/>
      <c r="T276" s="107"/>
      <c r="U276" s="107"/>
      <c r="V276" s="107"/>
      <c r="W276" s="107"/>
      <c r="X276" s="107"/>
      <c r="Y276" s="107"/>
      <c r="Z276" s="107"/>
      <c r="AA276" s="108"/>
      <c r="AB276" s="104"/>
      <c r="AC276" s="104"/>
      <c r="AD276" s="104"/>
    </row>
    <row r="277" spans="1:30" ht="76.5">
      <c r="A277" s="147"/>
      <c r="B277" s="83" t="s">
        <v>1851</v>
      </c>
      <c r="C277" s="83" t="s">
        <v>1842</v>
      </c>
      <c r="D277" s="142"/>
      <c r="E277" s="83" t="s">
        <v>1852</v>
      </c>
      <c r="F277" s="83" t="s">
        <v>1853</v>
      </c>
      <c r="G277" s="139" t="s">
        <v>188</v>
      </c>
      <c r="H277" s="128"/>
      <c r="I277" s="128"/>
      <c r="J277" s="128"/>
      <c r="K277" s="133"/>
      <c r="L277" s="107"/>
      <c r="M277" s="140"/>
      <c r="N277" s="107"/>
      <c r="O277" s="107"/>
      <c r="P277" s="107"/>
      <c r="Q277" s="107"/>
      <c r="R277" s="107"/>
      <c r="S277" s="107"/>
      <c r="T277" s="107"/>
      <c r="U277" s="107"/>
      <c r="V277" s="107"/>
      <c r="W277" s="107"/>
      <c r="X277" s="107"/>
      <c r="Y277" s="107"/>
      <c r="Z277" s="107"/>
      <c r="AA277" s="108"/>
      <c r="AB277" s="104"/>
      <c r="AC277" s="104"/>
      <c r="AD277" s="104"/>
    </row>
    <row r="278" spans="1:30" ht="89.25">
      <c r="A278" s="147"/>
      <c r="B278" s="83" t="s">
        <v>1431</v>
      </c>
      <c r="C278" s="83" t="s">
        <v>1842</v>
      </c>
      <c r="D278" s="142"/>
      <c r="E278" s="83" t="s">
        <v>1371</v>
      </c>
      <c r="F278" s="83" t="s">
        <v>185</v>
      </c>
      <c r="G278" s="139" t="s">
        <v>188</v>
      </c>
      <c r="H278" s="128"/>
      <c r="I278" s="128"/>
      <c r="J278" s="128"/>
      <c r="K278" s="133"/>
      <c r="L278" s="107"/>
      <c r="M278" s="140"/>
      <c r="N278" s="107"/>
      <c r="O278" s="107"/>
      <c r="P278" s="107"/>
      <c r="Q278" s="107"/>
      <c r="R278" s="107"/>
      <c r="S278" s="107"/>
      <c r="T278" s="107"/>
      <c r="U278" s="107"/>
      <c r="V278" s="107"/>
      <c r="W278" s="107"/>
      <c r="X278" s="107"/>
      <c r="Y278" s="107"/>
      <c r="Z278" s="107"/>
      <c r="AA278" s="108"/>
      <c r="AB278" s="104"/>
      <c r="AC278" s="104"/>
      <c r="AD278" s="104"/>
    </row>
    <row r="279" spans="1:30" ht="140.25">
      <c r="A279" s="147"/>
      <c r="B279" s="83" t="s">
        <v>1854</v>
      </c>
      <c r="C279" s="83" t="s">
        <v>1842</v>
      </c>
      <c r="D279" s="142"/>
      <c r="E279" s="83" t="s">
        <v>1855</v>
      </c>
      <c r="F279" s="83" t="s">
        <v>1856</v>
      </c>
      <c r="G279" s="139" t="s">
        <v>188</v>
      </c>
      <c r="H279" s="128"/>
      <c r="I279" s="128"/>
      <c r="J279" s="128"/>
      <c r="K279" s="133"/>
      <c r="L279" s="107"/>
      <c r="M279" s="140"/>
      <c r="N279" s="107"/>
      <c r="O279" s="107"/>
      <c r="P279" s="107"/>
      <c r="Q279" s="107"/>
      <c r="R279" s="107"/>
      <c r="S279" s="107"/>
      <c r="T279" s="107"/>
      <c r="U279" s="107"/>
      <c r="V279" s="107"/>
      <c r="W279" s="107"/>
      <c r="X279" s="107"/>
      <c r="Y279" s="107"/>
      <c r="Z279" s="107"/>
      <c r="AA279" s="108"/>
      <c r="AB279" s="104"/>
      <c r="AC279" s="104"/>
      <c r="AD279" s="104"/>
    </row>
    <row r="280" spans="1:30" ht="204">
      <c r="A280" s="147"/>
      <c r="B280" s="83" t="s">
        <v>1857</v>
      </c>
      <c r="C280" s="83" t="s">
        <v>1842</v>
      </c>
      <c r="D280" s="142"/>
      <c r="E280" s="83" t="s">
        <v>1858</v>
      </c>
      <c r="F280" s="83" t="s">
        <v>1432</v>
      </c>
      <c r="G280" s="139" t="s">
        <v>188</v>
      </c>
      <c r="H280" s="83"/>
      <c r="I280" s="128"/>
      <c r="J280" s="128"/>
      <c r="K280" s="133"/>
      <c r="L280" s="107"/>
      <c r="M280" s="140"/>
      <c r="N280" s="107"/>
      <c r="O280" s="107"/>
      <c r="P280" s="107"/>
      <c r="Q280" s="107"/>
      <c r="R280" s="107"/>
      <c r="S280" s="107"/>
      <c r="T280" s="107"/>
      <c r="U280" s="107"/>
      <c r="V280" s="107"/>
      <c r="W280" s="107"/>
      <c r="X280" s="107"/>
      <c r="Y280" s="107"/>
      <c r="Z280" s="107"/>
      <c r="AA280" s="108"/>
      <c r="AB280" s="104"/>
      <c r="AC280" s="104"/>
      <c r="AD280" s="104"/>
    </row>
    <row r="281" spans="1:30" ht="13.5">
      <c r="A281" s="262" t="s">
        <v>1859</v>
      </c>
      <c r="B281" s="237"/>
      <c r="C281" s="237"/>
      <c r="D281" s="237"/>
      <c r="E281" s="237"/>
      <c r="F281" s="237"/>
      <c r="G281" s="237"/>
      <c r="H281" s="237"/>
      <c r="I281" s="237"/>
      <c r="J281" s="238"/>
      <c r="K281" s="134"/>
      <c r="L281" s="107"/>
      <c r="M281" s="107"/>
      <c r="N281" s="107"/>
      <c r="O281" s="107"/>
      <c r="P281" s="107"/>
      <c r="Q281" s="107"/>
      <c r="R281" s="107"/>
      <c r="S281" s="107"/>
      <c r="T281" s="107"/>
      <c r="U281" s="107"/>
      <c r="V281" s="107"/>
      <c r="W281" s="107"/>
      <c r="X281" s="107"/>
      <c r="Y281" s="107"/>
      <c r="Z281" s="107"/>
      <c r="AA281" s="108"/>
      <c r="AB281" s="104"/>
      <c r="AC281" s="104"/>
      <c r="AD281" s="104"/>
    </row>
    <row r="282" spans="1:30" ht="63.75">
      <c r="A282" s="269" t="s">
        <v>221</v>
      </c>
      <c r="B282" s="83" t="s">
        <v>222</v>
      </c>
      <c r="C282" s="83" t="s">
        <v>1225</v>
      </c>
      <c r="D282" s="142"/>
      <c r="E282" s="83" t="s">
        <v>223</v>
      </c>
      <c r="F282" s="83" t="s">
        <v>1860</v>
      </c>
      <c r="G282" s="139" t="s">
        <v>188</v>
      </c>
      <c r="H282" s="83"/>
      <c r="I282" s="128"/>
      <c r="J282" s="128"/>
      <c r="K282" s="133"/>
      <c r="L282" s="107"/>
      <c r="M282" s="140"/>
      <c r="N282" s="107"/>
      <c r="O282" s="107"/>
      <c r="P282" s="107"/>
      <c r="Q282" s="107"/>
      <c r="R282" s="107"/>
      <c r="S282" s="107"/>
      <c r="T282" s="107"/>
      <c r="U282" s="107"/>
      <c r="V282" s="107"/>
      <c r="W282" s="107"/>
      <c r="X282" s="107"/>
      <c r="Y282" s="107"/>
      <c r="Z282" s="107"/>
      <c r="AA282" s="108"/>
      <c r="AB282" s="104"/>
      <c r="AC282" s="104"/>
      <c r="AD282" s="104"/>
    </row>
    <row r="283" spans="1:30" ht="89.25">
      <c r="A283" s="235"/>
      <c r="B283" s="83" t="s">
        <v>224</v>
      </c>
      <c r="C283" s="261" t="s">
        <v>1226</v>
      </c>
      <c r="D283" s="142"/>
      <c r="E283" s="85" t="s">
        <v>1227</v>
      </c>
      <c r="F283" s="85" t="s">
        <v>1861</v>
      </c>
      <c r="G283" s="139" t="s">
        <v>188</v>
      </c>
      <c r="H283" s="146"/>
      <c r="I283" s="128"/>
      <c r="J283" s="128"/>
      <c r="K283" s="133"/>
      <c r="L283" s="107"/>
      <c r="M283" s="140"/>
      <c r="N283" s="107"/>
      <c r="O283" s="107"/>
      <c r="P283" s="107"/>
      <c r="Q283" s="107"/>
      <c r="R283" s="107"/>
      <c r="S283" s="107"/>
      <c r="T283" s="107"/>
      <c r="U283" s="107"/>
      <c r="V283" s="107"/>
      <c r="W283" s="107"/>
      <c r="X283" s="107"/>
      <c r="Y283" s="107"/>
      <c r="Z283" s="107"/>
      <c r="AA283" s="108"/>
      <c r="AB283" s="104"/>
      <c r="AC283" s="104"/>
      <c r="AD283" s="104"/>
    </row>
    <row r="284" spans="1:30" ht="165.75">
      <c r="A284" s="234"/>
      <c r="B284" s="83" t="s">
        <v>1862</v>
      </c>
      <c r="C284" s="234"/>
      <c r="D284" s="142"/>
      <c r="E284" s="84"/>
      <c r="F284" s="84"/>
      <c r="G284" s="139" t="s">
        <v>188</v>
      </c>
      <c r="H284" s="146"/>
      <c r="I284" s="128"/>
      <c r="J284" s="128"/>
      <c r="K284" s="133"/>
      <c r="L284" s="107"/>
      <c r="M284" s="105"/>
      <c r="N284" s="107"/>
      <c r="O284" s="107"/>
      <c r="P284" s="107"/>
      <c r="Q284" s="107"/>
      <c r="R284" s="107"/>
      <c r="S284" s="107"/>
      <c r="T284" s="107"/>
      <c r="U284" s="107"/>
      <c r="V284" s="107"/>
      <c r="W284" s="107"/>
      <c r="X284" s="107"/>
      <c r="Y284" s="107"/>
      <c r="Z284" s="107"/>
      <c r="AA284" s="108"/>
      <c r="AB284" s="104"/>
      <c r="AC284" s="104"/>
      <c r="AD284" s="104"/>
    </row>
    <row r="285" spans="1:30" ht="76.5">
      <c r="A285" s="141" t="s">
        <v>225</v>
      </c>
      <c r="B285" s="83" t="s">
        <v>226</v>
      </c>
      <c r="C285" s="83" t="s">
        <v>1229</v>
      </c>
      <c r="D285" s="142"/>
      <c r="E285" s="83" t="s">
        <v>1863</v>
      </c>
      <c r="F285" s="83" t="s">
        <v>1864</v>
      </c>
      <c r="G285" s="139" t="s">
        <v>188</v>
      </c>
      <c r="H285" s="128"/>
      <c r="I285" s="128"/>
      <c r="J285" s="128"/>
      <c r="K285" s="133"/>
      <c r="L285" s="107"/>
      <c r="M285" s="140"/>
      <c r="N285" s="107"/>
      <c r="O285" s="107"/>
      <c r="P285" s="107"/>
      <c r="Q285" s="107"/>
      <c r="R285" s="107"/>
      <c r="S285" s="107"/>
      <c r="T285" s="107"/>
      <c r="U285" s="107"/>
      <c r="V285" s="107"/>
      <c r="W285" s="107"/>
      <c r="X285" s="107"/>
      <c r="Y285" s="107"/>
      <c r="Z285" s="107"/>
      <c r="AA285" s="108"/>
      <c r="AB285" s="104"/>
      <c r="AC285" s="104"/>
      <c r="AD285" s="104"/>
    </row>
    <row r="286" spans="1:30" ht="63.75">
      <c r="A286" s="141" t="s">
        <v>1228</v>
      </c>
      <c r="B286" s="83" t="s">
        <v>227</v>
      </c>
      <c r="C286" s="83" t="s">
        <v>1229</v>
      </c>
      <c r="D286" s="142"/>
      <c r="E286" s="83" t="s">
        <v>1230</v>
      </c>
      <c r="F286" s="83" t="s">
        <v>228</v>
      </c>
      <c r="G286" s="139" t="s">
        <v>188</v>
      </c>
      <c r="H286" s="83"/>
      <c r="I286" s="128"/>
      <c r="J286" s="128"/>
      <c r="K286" s="133"/>
      <c r="L286" s="107"/>
      <c r="M286" s="140"/>
      <c r="N286" s="107"/>
      <c r="O286" s="107"/>
      <c r="P286" s="107"/>
      <c r="Q286" s="107"/>
      <c r="R286" s="107"/>
      <c r="S286" s="107"/>
      <c r="T286" s="107"/>
      <c r="U286" s="107"/>
      <c r="V286" s="107"/>
      <c r="W286" s="107"/>
      <c r="X286" s="107"/>
      <c r="Y286" s="107"/>
      <c r="Z286" s="107"/>
      <c r="AA286" s="108"/>
      <c r="AB286" s="104"/>
      <c r="AC286" s="104"/>
      <c r="AD286" s="104"/>
    </row>
    <row r="287" spans="1:30" ht="38.25">
      <c r="A287" s="269" t="s">
        <v>229</v>
      </c>
      <c r="B287" s="83" t="s">
        <v>1231</v>
      </c>
      <c r="C287" s="261" t="s">
        <v>1229</v>
      </c>
      <c r="D287" s="142"/>
      <c r="E287" s="261" t="s">
        <v>1865</v>
      </c>
      <c r="F287" s="261" t="s">
        <v>1866</v>
      </c>
      <c r="G287" s="139" t="s">
        <v>188</v>
      </c>
      <c r="H287" s="83"/>
      <c r="I287" s="128"/>
      <c r="J287" s="128"/>
      <c r="K287" s="133"/>
      <c r="L287" s="107"/>
      <c r="M287" s="140"/>
      <c r="N287" s="107"/>
      <c r="O287" s="107"/>
      <c r="P287" s="107"/>
      <c r="Q287" s="107"/>
      <c r="R287" s="107"/>
      <c r="S287" s="107"/>
      <c r="T287" s="107"/>
      <c r="U287" s="107"/>
      <c r="V287" s="107"/>
      <c r="W287" s="107"/>
      <c r="X287" s="107"/>
      <c r="Y287" s="107"/>
      <c r="Z287" s="107"/>
      <c r="AA287" s="108"/>
      <c r="AB287" s="104"/>
      <c r="AC287" s="104"/>
      <c r="AD287" s="104"/>
    </row>
    <row r="288" spans="1:30" ht="165.75">
      <c r="A288" s="235"/>
      <c r="B288" s="160" t="s">
        <v>1867</v>
      </c>
      <c r="C288" s="234"/>
      <c r="D288" s="142"/>
      <c r="E288" s="234"/>
      <c r="F288" s="234"/>
      <c r="G288" s="139" t="s">
        <v>188</v>
      </c>
      <c r="H288" s="83"/>
      <c r="I288" s="128"/>
      <c r="J288" s="128"/>
      <c r="K288" s="133"/>
      <c r="L288" s="107"/>
      <c r="M288" s="105"/>
      <c r="N288" s="107"/>
      <c r="O288" s="107"/>
      <c r="P288" s="107"/>
      <c r="Q288" s="107"/>
      <c r="R288" s="107"/>
      <c r="S288" s="107"/>
      <c r="T288" s="107"/>
      <c r="U288" s="107"/>
      <c r="V288" s="107"/>
      <c r="W288" s="107"/>
      <c r="X288" s="107"/>
      <c r="Y288" s="107"/>
      <c r="Z288" s="107"/>
      <c r="AA288" s="108"/>
      <c r="AB288" s="104"/>
      <c r="AC288" s="104"/>
      <c r="AD288" s="104"/>
    </row>
    <row r="289" spans="1:30" ht="51">
      <c r="A289" s="235"/>
      <c r="B289" s="83" t="s">
        <v>230</v>
      </c>
      <c r="C289" s="83" t="s">
        <v>1229</v>
      </c>
      <c r="D289" s="142"/>
      <c r="E289" s="83" t="s">
        <v>1232</v>
      </c>
      <c r="F289" s="83" t="s">
        <v>1233</v>
      </c>
      <c r="G289" s="139" t="s">
        <v>188</v>
      </c>
      <c r="H289" s="83"/>
      <c r="I289" s="128"/>
      <c r="J289" s="128"/>
      <c r="K289" s="133"/>
      <c r="L289" s="107"/>
      <c r="M289" s="140"/>
      <c r="N289" s="107"/>
      <c r="O289" s="107"/>
      <c r="P289" s="107"/>
      <c r="Q289" s="107"/>
      <c r="R289" s="107"/>
      <c r="S289" s="107"/>
      <c r="T289" s="107"/>
      <c r="U289" s="107"/>
      <c r="V289" s="107"/>
      <c r="W289" s="107"/>
      <c r="X289" s="107"/>
      <c r="Y289" s="107"/>
      <c r="Z289" s="107"/>
      <c r="AA289" s="108"/>
      <c r="AB289" s="104"/>
      <c r="AC289" s="104"/>
      <c r="AD289" s="104"/>
    </row>
    <row r="290" spans="1:30" ht="51">
      <c r="A290" s="235"/>
      <c r="B290" s="83" t="s">
        <v>231</v>
      </c>
      <c r="C290" s="83" t="s">
        <v>232</v>
      </c>
      <c r="D290" s="142"/>
      <c r="E290" s="83" t="s">
        <v>1234</v>
      </c>
      <c r="F290" s="83" t="s">
        <v>1235</v>
      </c>
      <c r="G290" s="139" t="s">
        <v>188</v>
      </c>
      <c r="H290" s="83"/>
      <c r="I290" s="128"/>
      <c r="J290" s="128"/>
      <c r="K290" s="133"/>
      <c r="L290" s="107"/>
      <c r="M290" s="140"/>
      <c r="N290" s="107"/>
      <c r="O290" s="107"/>
      <c r="P290" s="107"/>
      <c r="Q290" s="107"/>
      <c r="R290" s="107"/>
      <c r="S290" s="107"/>
      <c r="T290" s="107"/>
      <c r="U290" s="107"/>
      <c r="V290" s="107"/>
      <c r="W290" s="107"/>
      <c r="X290" s="107"/>
      <c r="Y290" s="107"/>
      <c r="Z290" s="107"/>
      <c r="AA290" s="108"/>
      <c r="AB290" s="104"/>
      <c r="AC290" s="104"/>
      <c r="AD290" s="104"/>
    </row>
    <row r="291" spans="1:30" ht="51">
      <c r="A291" s="235"/>
      <c r="B291" s="83" t="s">
        <v>233</v>
      </c>
      <c r="C291" s="83" t="s">
        <v>232</v>
      </c>
      <c r="D291" s="142"/>
      <c r="E291" s="83" t="s">
        <v>1236</v>
      </c>
      <c r="F291" s="83" t="s">
        <v>1237</v>
      </c>
      <c r="G291" s="139" t="s">
        <v>188</v>
      </c>
      <c r="H291" s="146"/>
      <c r="I291" s="128"/>
      <c r="J291" s="128"/>
      <c r="K291" s="133"/>
      <c r="L291" s="107"/>
      <c r="M291" s="140"/>
      <c r="N291" s="107"/>
      <c r="O291" s="107"/>
      <c r="P291" s="107"/>
      <c r="Q291" s="107"/>
      <c r="R291" s="107"/>
      <c r="S291" s="107"/>
      <c r="T291" s="107"/>
      <c r="U291" s="107"/>
      <c r="V291" s="107"/>
      <c r="W291" s="107"/>
      <c r="X291" s="107"/>
      <c r="Y291" s="107"/>
      <c r="Z291" s="107"/>
      <c r="AA291" s="108"/>
      <c r="AB291" s="104"/>
      <c r="AC291" s="104"/>
      <c r="AD291" s="104"/>
    </row>
    <row r="292" spans="1:30" ht="25.5">
      <c r="A292" s="234"/>
      <c r="B292" s="83" t="s">
        <v>234</v>
      </c>
      <c r="C292" s="83" t="s">
        <v>232</v>
      </c>
      <c r="D292" s="142"/>
      <c r="E292" s="83" t="s">
        <v>1868</v>
      </c>
      <c r="F292" s="83" t="s">
        <v>235</v>
      </c>
      <c r="G292" s="139" t="s">
        <v>188</v>
      </c>
      <c r="H292" s="83"/>
      <c r="I292" s="128"/>
      <c r="J292" s="128"/>
      <c r="K292" s="133"/>
      <c r="L292" s="107"/>
      <c r="M292" s="140"/>
      <c r="N292" s="107"/>
      <c r="O292" s="107"/>
      <c r="P292" s="107"/>
      <c r="Q292" s="107"/>
      <c r="R292" s="107"/>
      <c r="S292" s="107"/>
      <c r="T292" s="107"/>
      <c r="U292" s="107"/>
      <c r="V292" s="107"/>
      <c r="W292" s="107"/>
      <c r="X292" s="107"/>
      <c r="Y292" s="107"/>
      <c r="Z292" s="107"/>
      <c r="AA292" s="108"/>
      <c r="AB292" s="104"/>
      <c r="AC292" s="104"/>
      <c r="AD292" s="104"/>
    </row>
    <row r="293" spans="1:30" ht="63.75">
      <c r="A293" s="141" t="s">
        <v>1238</v>
      </c>
      <c r="B293" s="83" t="s">
        <v>236</v>
      </c>
      <c r="C293" s="83" t="s">
        <v>1239</v>
      </c>
      <c r="D293" s="142"/>
      <c r="E293" s="83" t="s">
        <v>1240</v>
      </c>
      <c r="F293" s="83" t="s">
        <v>1241</v>
      </c>
      <c r="G293" s="139" t="s">
        <v>188</v>
      </c>
      <c r="H293" s="83"/>
      <c r="I293" s="128"/>
      <c r="J293" s="128"/>
      <c r="K293" s="133"/>
      <c r="L293" s="107"/>
      <c r="M293" s="140"/>
      <c r="N293" s="107"/>
      <c r="O293" s="107"/>
      <c r="P293" s="107"/>
      <c r="Q293" s="107"/>
      <c r="R293" s="107"/>
      <c r="S293" s="107"/>
      <c r="T293" s="107"/>
      <c r="U293" s="107"/>
      <c r="V293" s="107"/>
      <c r="W293" s="107"/>
      <c r="X293" s="107"/>
      <c r="Y293" s="107"/>
      <c r="Z293" s="107"/>
      <c r="AA293" s="108"/>
      <c r="AB293" s="104"/>
      <c r="AC293" s="104"/>
      <c r="AD293" s="104"/>
    </row>
    <row r="294" spans="1:30" ht="51">
      <c r="A294" s="141" t="s">
        <v>237</v>
      </c>
      <c r="B294" s="83" t="s">
        <v>238</v>
      </c>
      <c r="C294" s="83" t="s">
        <v>1242</v>
      </c>
      <c r="D294" s="142"/>
      <c r="E294" s="83" t="s">
        <v>1869</v>
      </c>
      <c r="F294" s="83" t="s">
        <v>1870</v>
      </c>
      <c r="G294" s="139" t="s">
        <v>188</v>
      </c>
      <c r="H294" s="146"/>
      <c r="I294" s="128"/>
      <c r="J294" s="128"/>
      <c r="K294" s="133"/>
      <c r="L294" s="107"/>
      <c r="M294" s="140"/>
      <c r="N294" s="107"/>
      <c r="O294" s="107"/>
      <c r="P294" s="107"/>
      <c r="Q294" s="107"/>
      <c r="R294" s="107"/>
      <c r="S294" s="107"/>
      <c r="T294" s="107"/>
      <c r="U294" s="107"/>
      <c r="V294" s="107"/>
      <c r="W294" s="107"/>
      <c r="X294" s="107"/>
      <c r="Y294" s="107"/>
      <c r="Z294" s="107"/>
      <c r="AA294" s="108"/>
      <c r="AB294" s="104"/>
      <c r="AC294" s="104"/>
      <c r="AD294" s="104"/>
    </row>
    <row r="295" spans="1:30" ht="12.75">
      <c r="A295" s="161"/>
      <c r="B295" s="162"/>
      <c r="C295" s="163"/>
      <c r="D295" s="162"/>
      <c r="E295" s="105"/>
      <c r="F295" s="164"/>
      <c r="G295" s="105"/>
      <c r="H295" s="105"/>
      <c r="I295" s="107"/>
      <c r="J295" s="107"/>
      <c r="K295" s="107"/>
      <c r="L295" s="107"/>
      <c r="M295" s="105"/>
      <c r="N295" s="107"/>
      <c r="O295" s="107"/>
      <c r="P295" s="107"/>
      <c r="Q295" s="107"/>
      <c r="R295" s="107"/>
      <c r="S295" s="107"/>
      <c r="T295" s="107"/>
      <c r="U295" s="107"/>
      <c r="V295" s="107"/>
      <c r="W295" s="107"/>
      <c r="X295" s="107"/>
      <c r="Y295" s="107"/>
      <c r="Z295" s="107"/>
      <c r="AA295" s="108"/>
      <c r="AB295" s="104"/>
      <c r="AC295" s="104"/>
      <c r="AD295" s="104"/>
    </row>
    <row r="296" spans="1:30" ht="12.75">
      <c r="A296" s="161"/>
      <c r="B296" s="162"/>
      <c r="C296" s="163"/>
      <c r="D296" s="162"/>
      <c r="E296" s="105"/>
      <c r="F296" s="164"/>
      <c r="G296" s="105"/>
      <c r="H296" s="105"/>
      <c r="I296" s="107"/>
      <c r="J296" s="107"/>
      <c r="K296" s="107"/>
      <c r="L296" s="107"/>
      <c r="M296" s="105"/>
      <c r="N296" s="107"/>
      <c r="O296" s="107"/>
      <c r="P296" s="107"/>
      <c r="Q296" s="107"/>
      <c r="R296" s="107"/>
      <c r="S296" s="107"/>
      <c r="T296" s="107"/>
      <c r="U296" s="107"/>
      <c r="V296" s="107"/>
      <c r="W296" s="107"/>
      <c r="X296" s="107"/>
      <c r="Y296" s="107"/>
      <c r="Z296" s="107"/>
      <c r="AA296" s="108"/>
      <c r="AB296" s="104"/>
      <c r="AC296" s="104"/>
      <c r="AD296" s="104"/>
    </row>
    <row r="297" spans="1:30" ht="19.5">
      <c r="A297" s="270" t="s">
        <v>526</v>
      </c>
      <c r="B297" s="237"/>
      <c r="C297" s="237"/>
      <c r="D297" s="238"/>
      <c r="E297" s="105"/>
      <c r="F297" s="164"/>
      <c r="G297" s="105"/>
      <c r="H297" s="105"/>
      <c r="I297" s="107"/>
      <c r="J297" s="107"/>
      <c r="K297" s="107"/>
      <c r="L297" s="107"/>
      <c r="M297" s="105"/>
      <c r="N297" s="107"/>
      <c r="O297" s="107"/>
      <c r="P297" s="107"/>
      <c r="Q297" s="107"/>
      <c r="R297" s="107"/>
      <c r="S297" s="107"/>
      <c r="T297" s="107"/>
      <c r="U297" s="107"/>
      <c r="V297" s="107"/>
      <c r="W297" s="107"/>
      <c r="X297" s="107"/>
      <c r="Y297" s="107"/>
      <c r="Z297" s="107"/>
      <c r="AA297" s="108"/>
      <c r="AB297" s="104"/>
      <c r="AC297" s="104"/>
      <c r="AD297" s="104"/>
    </row>
    <row r="298" spans="1:30" ht="15">
      <c r="A298" s="165"/>
      <c r="B298" s="166" t="s">
        <v>2</v>
      </c>
      <c r="C298" s="166" t="s">
        <v>3</v>
      </c>
      <c r="D298" s="167" t="s">
        <v>4</v>
      </c>
      <c r="E298" s="105"/>
      <c r="F298" s="164"/>
      <c r="G298" s="105"/>
      <c r="H298" s="105"/>
      <c r="I298" s="107"/>
      <c r="J298" s="107"/>
      <c r="K298" s="107"/>
      <c r="L298" s="107"/>
      <c r="M298" s="105"/>
      <c r="N298" s="107"/>
      <c r="O298" s="107"/>
      <c r="P298" s="107"/>
      <c r="Q298" s="107"/>
      <c r="R298" s="107"/>
      <c r="S298" s="107"/>
      <c r="T298" s="107"/>
      <c r="U298" s="107"/>
      <c r="V298" s="107"/>
      <c r="W298" s="107"/>
      <c r="X298" s="107"/>
      <c r="Y298" s="107"/>
      <c r="Z298" s="107"/>
      <c r="AA298" s="108"/>
      <c r="AB298" s="104"/>
      <c r="AC298" s="104"/>
      <c r="AD298" s="104"/>
    </row>
    <row r="299" spans="1:30" ht="15">
      <c r="A299" s="168" t="s">
        <v>6</v>
      </c>
      <c r="B299" s="169">
        <f>COUNTIF(F305:F427, "NOT STARTED")</f>
        <v>0</v>
      </c>
      <c r="C299" s="170"/>
      <c r="D299" s="271"/>
      <c r="E299" s="105"/>
      <c r="F299" s="164"/>
      <c r="G299" s="105"/>
      <c r="H299" s="105"/>
      <c r="I299" s="107"/>
      <c r="J299" s="107"/>
      <c r="K299" s="107"/>
      <c r="L299" s="107"/>
      <c r="M299" s="105"/>
      <c r="N299" s="107"/>
      <c r="O299" s="107"/>
      <c r="P299" s="107"/>
      <c r="Q299" s="107"/>
      <c r="R299" s="107"/>
      <c r="S299" s="107"/>
      <c r="T299" s="107"/>
      <c r="U299" s="107"/>
      <c r="V299" s="107"/>
      <c r="W299" s="107"/>
      <c r="X299" s="107"/>
      <c r="Y299" s="107"/>
      <c r="Z299" s="107"/>
      <c r="AA299" s="108"/>
      <c r="AB299" s="104"/>
      <c r="AC299" s="104"/>
      <c r="AD299" s="104"/>
    </row>
    <row r="300" spans="1:30" ht="15">
      <c r="A300" s="168" t="s">
        <v>8</v>
      </c>
      <c r="B300" s="169">
        <f>COUNTIF(F305:F427, "PASSED")</f>
        <v>0</v>
      </c>
      <c r="C300" s="170"/>
      <c r="D300" s="235"/>
      <c r="E300" s="105"/>
      <c r="F300" s="164"/>
      <c r="G300" s="105"/>
      <c r="H300" s="105"/>
      <c r="I300" s="107"/>
      <c r="J300" s="107"/>
      <c r="K300" s="107"/>
      <c r="L300" s="107"/>
      <c r="M300" s="105"/>
      <c r="N300" s="107"/>
      <c r="O300" s="107"/>
      <c r="P300" s="107"/>
      <c r="Q300" s="107"/>
      <c r="R300" s="107"/>
      <c r="S300" s="107"/>
      <c r="T300" s="107"/>
      <c r="U300" s="107"/>
      <c r="V300" s="107"/>
      <c r="W300" s="107"/>
      <c r="X300" s="107"/>
      <c r="Y300" s="107"/>
      <c r="Z300" s="107"/>
      <c r="AA300" s="108"/>
      <c r="AB300" s="104"/>
      <c r="AC300" s="104"/>
      <c r="AD300" s="104"/>
    </row>
    <row r="301" spans="1:30" ht="15">
      <c r="A301" s="168" t="s">
        <v>9</v>
      </c>
      <c r="B301" s="169">
        <f>COUNTIF(F305:F427, "FAILED")</f>
        <v>0</v>
      </c>
      <c r="C301" s="170"/>
      <c r="D301" s="235"/>
      <c r="E301" s="105"/>
      <c r="F301" s="164"/>
      <c r="G301" s="105"/>
      <c r="H301" s="105"/>
      <c r="I301" s="107"/>
      <c r="J301" s="107"/>
      <c r="K301" s="107"/>
      <c r="L301" s="107"/>
      <c r="M301" s="105"/>
      <c r="N301" s="107"/>
      <c r="O301" s="107"/>
      <c r="P301" s="107"/>
      <c r="Q301" s="107"/>
      <c r="R301" s="107"/>
      <c r="S301" s="107"/>
      <c r="T301" s="107"/>
      <c r="U301" s="107"/>
      <c r="V301" s="107"/>
      <c r="W301" s="107"/>
      <c r="X301" s="107"/>
      <c r="Y301" s="107"/>
      <c r="Z301" s="107"/>
      <c r="AA301" s="108"/>
      <c r="AB301" s="104"/>
      <c r="AC301" s="104"/>
      <c r="AD301" s="104"/>
    </row>
    <row r="302" spans="1:30" ht="19.5">
      <c r="A302" s="171" t="s">
        <v>10</v>
      </c>
      <c r="B302" s="172">
        <f>SUM(B299:B301)</f>
        <v>0</v>
      </c>
      <c r="C302" s="173"/>
      <c r="D302" s="234"/>
      <c r="E302" s="105"/>
      <c r="F302" s="164"/>
      <c r="G302" s="105"/>
      <c r="H302" s="105"/>
      <c r="I302" s="107"/>
      <c r="J302" s="107"/>
      <c r="K302" s="107"/>
      <c r="L302" s="107"/>
      <c r="M302" s="105"/>
      <c r="N302" s="107"/>
      <c r="O302" s="107"/>
      <c r="P302" s="107"/>
      <c r="Q302" s="107"/>
      <c r="R302" s="107"/>
      <c r="S302" s="107"/>
      <c r="T302" s="107"/>
      <c r="U302" s="107"/>
      <c r="V302" s="107"/>
      <c r="W302" s="107"/>
      <c r="X302" s="107"/>
      <c r="Y302" s="107"/>
      <c r="Z302" s="107"/>
      <c r="AA302" s="108"/>
      <c r="AB302" s="104"/>
      <c r="AC302" s="104"/>
      <c r="AD302" s="104"/>
    </row>
    <row r="303" spans="1:30" ht="12.75">
      <c r="A303" s="161"/>
      <c r="B303" s="162"/>
      <c r="C303" s="163"/>
      <c r="D303" s="162"/>
      <c r="E303" s="162"/>
      <c r="F303" s="130"/>
      <c r="G303" s="162"/>
      <c r="H303" s="105"/>
      <c r="I303" s="107"/>
      <c r="J303" s="107"/>
      <c r="K303" s="107"/>
      <c r="L303" s="107"/>
      <c r="M303" s="105"/>
      <c r="N303" s="107"/>
      <c r="O303" s="107"/>
      <c r="P303" s="107"/>
      <c r="Q303" s="107"/>
      <c r="R303" s="107"/>
      <c r="S303" s="107"/>
      <c r="T303" s="107"/>
      <c r="U303" s="107"/>
      <c r="V303" s="107"/>
      <c r="W303" s="107"/>
      <c r="X303" s="107"/>
      <c r="Y303" s="107"/>
      <c r="Z303" s="107"/>
      <c r="AA303" s="108"/>
      <c r="AB303" s="104"/>
      <c r="AC303" s="104"/>
      <c r="AD303" s="104"/>
    </row>
    <row r="304" spans="1:30">
      <c r="A304" s="259" t="s">
        <v>1871</v>
      </c>
      <c r="B304" s="237"/>
      <c r="C304" s="237"/>
      <c r="D304" s="237"/>
      <c r="E304" s="237"/>
      <c r="F304" s="237"/>
      <c r="G304" s="237"/>
      <c r="H304" s="237"/>
      <c r="I304" s="237"/>
      <c r="J304" s="238"/>
      <c r="K304" s="107"/>
      <c r="L304" s="107"/>
      <c r="M304" s="174"/>
      <c r="N304" s="107"/>
      <c r="O304" s="107"/>
      <c r="P304" s="107"/>
      <c r="Q304" s="107"/>
      <c r="R304" s="107"/>
      <c r="S304" s="107"/>
      <c r="T304" s="107"/>
      <c r="U304" s="107"/>
      <c r="V304" s="107"/>
      <c r="W304" s="107"/>
      <c r="X304" s="107"/>
      <c r="Y304" s="107"/>
      <c r="Z304" s="107"/>
      <c r="AA304" s="108"/>
      <c r="AB304" s="104"/>
      <c r="AC304" s="104"/>
      <c r="AD304" s="104"/>
    </row>
    <row r="305" spans="1:30" ht="76.5">
      <c r="A305" s="147"/>
      <c r="B305" s="83" t="s">
        <v>1433</v>
      </c>
      <c r="C305" s="128"/>
      <c r="D305" s="28"/>
      <c r="E305" s="83" t="s">
        <v>1872</v>
      </c>
      <c r="F305" s="83" t="s">
        <v>1873</v>
      </c>
      <c r="G305" s="139" t="s">
        <v>188</v>
      </c>
      <c r="H305" s="128"/>
      <c r="I305" s="175"/>
      <c r="J305" s="175"/>
      <c r="K305" s="107"/>
      <c r="L305" s="107"/>
      <c r="M305" s="107"/>
      <c r="N305" s="107"/>
      <c r="O305" s="107"/>
      <c r="P305" s="107"/>
      <c r="Q305" s="107"/>
      <c r="R305" s="107"/>
      <c r="S305" s="107"/>
      <c r="T305" s="107"/>
      <c r="U305" s="107"/>
      <c r="V305" s="107"/>
      <c r="W305" s="107"/>
      <c r="X305" s="107"/>
      <c r="Y305" s="107"/>
      <c r="Z305" s="107"/>
      <c r="AA305" s="108"/>
      <c r="AB305" s="104"/>
      <c r="AC305" s="104"/>
      <c r="AD305" s="104"/>
    </row>
    <row r="306" spans="1:30" ht="102">
      <c r="A306" s="147"/>
      <c r="B306" s="83" t="s">
        <v>1434</v>
      </c>
      <c r="C306" s="83" t="s">
        <v>1435</v>
      </c>
      <c r="D306" s="28"/>
      <c r="E306" s="83" t="s">
        <v>1874</v>
      </c>
      <c r="F306" s="83" t="s">
        <v>1436</v>
      </c>
      <c r="G306" s="139" t="s">
        <v>188</v>
      </c>
      <c r="H306" s="83"/>
      <c r="I306" s="175"/>
      <c r="J306" s="175"/>
      <c r="K306" s="107"/>
      <c r="L306" s="107"/>
      <c r="M306" s="140"/>
      <c r="N306" s="107"/>
      <c r="O306" s="107"/>
      <c r="P306" s="107"/>
      <c r="Q306" s="107"/>
      <c r="R306" s="107"/>
      <c r="S306" s="107"/>
      <c r="T306" s="107"/>
      <c r="U306" s="107"/>
      <c r="V306" s="107"/>
      <c r="W306" s="107"/>
      <c r="X306" s="107"/>
      <c r="Y306" s="107"/>
      <c r="Z306" s="107"/>
      <c r="AA306" s="108"/>
      <c r="AB306" s="104"/>
      <c r="AC306" s="104"/>
      <c r="AD306" s="104"/>
    </row>
    <row r="307" spans="1:30" ht="38.25">
      <c r="A307" s="147"/>
      <c r="B307" s="83" t="s">
        <v>1437</v>
      </c>
      <c r="C307" s="128"/>
      <c r="D307" s="28"/>
      <c r="E307" s="83" t="s">
        <v>1875</v>
      </c>
      <c r="F307" s="83" t="s">
        <v>1438</v>
      </c>
      <c r="G307" s="139" t="s">
        <v>188</v>
      </c>
      <c r="H307" s="128"/>
      <c r="I307" s="175"/>
      <c r="J307" s="175"/>
      <c r="K307" s="107"/>
      <c r="L307" s="107"/>
      <c r="M307" s="140"/>
      <c r="N307" s="107"/>
      <c r="O307" s="107"/>
      <c r="P307" s="107"/>
      <c r="Q307" s="107"/>
      <c r="R307" s="107"/>
      <c r="S307" s="107"/>
      <c r="T307" s="107"/>
      <c r="U307" s="107"/>
      <c r="V307" s="107"/>
      <c r="W307" s="107"/>
      <c r="X307" s="107"/>
      <c r="Y307" s="107"/>
      <c r="Z307" s="107"/>
      <c r="AA307" s="108"/>
      <c r="AB307" s="104"/>
      <c r="AC307" s="104"/>
      <c r="AD307" s="104"/>
    </row>
    <row r="308" spans="1:30" ht="102">
      <c r="A308" s="147"/>
      <c r="B308" s="83" t="s">
        <v>1876</v>
      </c>
      <c r="C308" s="128"/>
      <c r="D308" s="28"/>
      <c r="E308" s="83" t="s">
        <v>1877</v>
      </c>
      <c r="F308" s="83" t="s">
        <v>1439</v>
      </c>
      <c r="G308" s="139" t="s">
        <v>188</v>
      </c>
      <c r="H308" s="128"/>
      <c r="I308" s="175"/>
      <c r="J308" s="175"/>
      <c r="K308" s="107"/>
      <c r="L308" s="107"/>
      <c r="M308" s="140"/>
      <c r="N308" s="107"/>
      <c r="O308" s="107"/>
      <c r="P308" s="107"/>
      <c r="Q308" s="107"/>
      <c r="R308" s="107"/>
      <c r="S308" s="107"/>
      <c r="T308" s="107"/>
      <c r="U308" s="107"/>
      <c r="V308" s="107"/>
      <c r="W308" s="107"/>
      <c r="X308" s="107"/>
      <c r="Y308" s="107"/>
      <c r="Z308" s="107"/>
      <c r="AA308" s="108"/>
      <c r="AB308" s="104"/>
      <c r="AC308" s="104"/>
      <c r="AD308" s="104"/>
    </row>
    <row r="309" spans="1:30" ht="102">
      <c r="A309" s="147"/>
      <c r="B309" s="83" t="s">
        <v>1440</v>
      </c>
      <c r="C309" s="128"/>
      <c r="D309" s="28"/>
      <c r="E309" s="83" t="s">
        <v>1878</v>
      </c>
      <c r="F309" s="83" t="s">
        <v>1441</v>
      </c>
      <c r="G309" s="139" t="s">
        <v>188</v>
      </c>
      <c r="H309" s="83"/>
      <c r="I309" s="175"/>
      <c r="J309" s="175"/>
      <c r="K309" s="107"/>
      <c r="L309" s="107"/>
      <c r="M309" s="140"/>
      <c r="N309" s="107"/>
      <c r="O309" s="107"/>
      <c r="P309" s="107"/>
      <c r="Q309" s="107"/>
      <c r="R309" s="107"/>
      <c r="S309" s="107"/>
      <c r="T309" s="107"/>
      <c r="U309" s="107"/>
      <c r="V309" s="107"/>
      <c r="W309" s="107"/>
      <c r="X309" s="107"/>
      <c r="Y309" s="107"/>
      <c r="Z309" s="107"/>
      <c r="AA309" s="108"/>
      <c r="AB309" s="104"/>
      <c r="AC309" s="104"/>
      <c r="AD309" s="104"/>
    </row>
    <row r="310" spans="1:30" ht="89.25">
      <c r="A310" s="147"/>
      <c r="B310" s="83" t="s">
        <v>1442</v>
      </c>
      <c r="C310" s="128"/>
      <c r="D310" s="28"/>
      <c r="E310" s="83" t="s">
        <v>1879</v>
      </c>
      <c r="F310" s="83" t="s">
        <v>1443</v>
      </c>
      <c r="G310" s="139" t="s">
        <v>188</v>
      </c>
      <c r="H310" s="128"/>
      <c r="I310" s="175"/>
      <c r="J310" s="175"/>
      <c r="K310" s="107"/>
      <c r="L310" s="107"/>
      <c r="M310" s="140"/>
      <c r="N310" s="107"/>
      <c r="O310" s="107"/>
      <c r="P310" s="107"/>
      <c r="Q310" s="107"/>
      <c r="R310" s="107"/>
      <c r="S310" s="107"/>
      <c r="T310" s="107"/>
      <c r="U310" s="107"/>
      <c r="V310" s="107"/>
      <c r="W310" s="107"/>
      <c r="X310" s="107"/>
      <c r="Y310" s="107"/>
      <c r="Z310" s="107"/>
      <c r="AA310" s="108"/>
      <c r="AB310" s="104"/>
      <c r="AC310" s="104"/>
      <c r="AD310" s="104"/>
    </row>
    <row r="311" spans="1:30" ht="63.75">
      <c r="A311" s="147"/>
      <c r="B311" s="83" t="s">
        <v>1444</v>
      </c>
      <c r="C311" s="128"/>
      <c r="D311" s="28"/>
      <c r="E311" s="83" t="s">
        <v>1880</v>
      </c>
      <c r="F311" s="83" t="s">
        <v>1445</v>
      </c>
      <c r="G311" s="139" t="s">
        <v>188</v>
      </c>
      <c r="H311" s="83"/>
      <c r="I311" s="175"/>
      <c r="J311" s="175"/>
      <c r="K311" s="107"/>
      <c r="L311" s="107"/>
      <c r="M311" s="140"/>
      <c r="N311" s="107"/>
      <c r="O311" s="107"/>
      <c r="P311" s="107"/>
      <c r="Q311" s="107"/>
      <c r="R311" s="107"/>
      <c r="S311" s="107"/>
      <c r="T311" s="107"/>
      <c r="U311" s="107"/>
      <c r="V311" s="107"/>
      <c r="W311" s="107"/>
      <c r="X311" s="107"/>
      <c r="Y311" s="107"/>
      <c r="Z311" s="107"/>
      <c r="AA311" s="108"/>
      <c r="AB311" s="104"/>
      <c r="AC311" s="104"/>
      <c r="AD311" s="104"/>
    </row>
    <row r="312" spans="1:30" ht="76.5">
      <c r="A312" s="147"/>
      <c r="B312" s="83" t="s">
        <v>1446</v>
      </c>
      <c r="C312" s="128"/>
      <c r="D312" s="28"/>
      <c r="E312" s="83" t="s">
        <v>1881</v>
      </c>
      <c r="F312" s="83" t="s">
        <v>1447</v>
      </c>
      <c r="G312" s="139" t="s">
        <v>188</v>
      </c>
      <c r="H312" s="146"/>
      <c r="I312" s="175"/>
      <c r="J312" s="175"/>
      <c r="K312" s="107"/>
      <c r="L312" s="107"/>
      <c r="M312" s="140"/>
      <c r="N312" s="107"/>
      <c r="O312" s="107"/>
      <c r="P312" s="107"/>
      <c r="Q312" s="107"/>
      <c r="R312" s="107"/>
      <c r="S312" s="107"/>
      <c r="T312" s="107"/>
      <c r="U312" s="107"/>
      <c r="V312" s="107"/>
      <c r="W312" s="107"/>
      <c r="X312" s="107"/>
      <c r="Y312" s="107"/>
      <c r="Z312" s="107"/>
      <c r="AA312" s="108"/>
      <c r="AB312" s="104"/>
      <c r="AC312" s="104"/>
      <c r="AD312" s="104"/>
    </row>
    <row r="313" spans="1:30" ht="38.25">
      <c r="A313" s="147"/>
      <c r="B313" s="83" t="s">
        <v>1448</v>
      </c>
      <c r="C313" s="128"/>
      <c r="D313" s="28"/>
      <c r="E313" s="83" t="s">
        <v>1449</v>
      </c>
      <c r="F313" s="83" t="s">
        <v>1450</v>
      </c>
      <c r="G313" s="139" t="s">
        <v>188</v>
      </c>
      <c r="H313" s="128"/>
      <c r="I313" s="175"/>
      <c r="J313" s="175"/>
      <c r="K313" s="107"/>
      <c r="L313" s="107"/>
      <c r="M313" s="140"/>
      <c r="N313" s="107"/>
      <c r="O313" s="107"/>
      <c r="P313" s="107"/>
      <c r="Q313" s="107"/>
      <c r="R313" s="107"/>
      <c r="S313" s="107"/>
      <c r="T313" s="107"/>
      <c r="U313" s="107"/>
      <c r="V313" s="107"/>
      <c r="W313" s="107"/>
      <c r="X313" s="107"/>
      <c r="Y313" s="107"/>
      <c r="Z313" s="107"/>
      <c r="AA313" s="108"/>
      <c r="AB313" s="104"/>
      <c r="AC313" s="104"/>
      <c r="AD313" s="104"/>
    </row>
    <row r="314" spans="1:30" ht="38.25">
      <c r="A314" s="147"/>
      <c r="B314" s="83" t="s">
        <v>1451</v>
      </c>
      <c r="C314" s="128"/>
      <c r="D314" s="28"/>
      <c r="E314" s="83" t="s">
        <v>1882</v>
      </c>
      <c r="F314" s="83" t="s">
        <v>1450</v>
      </c>
      <c r="G314" s="139" t="s">
        <v>188</v>
      </c>
      <c r="H314" s="128"/>
      <c r="I314" s="175"/>
      <c r="J314" s="175"/>
      <c r="K314" s="107"/>
      <c r="L314" s="107"/>
      <c r="M314" s="140"/>
      <c r="N314" s="107"/>
      <c r="O314" s="107"/>
      <c r="P314" s="107"/>
      <c r="Q314" s="107"/>
      <c r="R314" s="107"/>
      <c r="S314" s="107"/>
      <c r="T314" s="107"/>
      <c r="U314" s="107"/>
      <c r="V314" s="107"/>
      <c r="W314" s="107"/>
      <c r="X314" s="107"/>
      <c r="Y314" s="107"/>
      <c r="Z314" s="107"/>
      <c r="AA314" s="108"/>
      <c r="AB314" s="104"/>
      <c r="AC314" s="104"/>
      <c r="AD314" s="104"/>
    </row>
    <row r="315" spans="1:30" ht="38.25">
      <c r="A315" s="147"/>
      <c r="B315" s="83" t="s">
        <v>1452</v>
      </c>
      <c r="C315" s="128"/>
      <c r="D315" s="28"/>
      <c r="E315" s="83" t="s">
        <v>1883</v>
      </c>
      <c r="F315" s="83" t="s">
        <v>1453</v>
      </c>
      <c r="G315" s="139" t="s">
        <v>188</v>
      </c>
      <c r="H315" s="146"/>
      <c r="I315" s="175"/>
      <c r="J315" s="175"/>
      <c r="K315" s="107"/>
      <c r="L315" s="107"/>
      <c r="M315" s="140"/>
      <c r="N315" s="107"/>
      <c r="O315" s="107"/>
      <c r="P315" s="107"/>
      <c r="Q315" s="107"/>
      <c r="R315" s="107"/>
      <c r="S315" s="107"/>
      <c r="T315" s="107"/>
      <c r="U315" s="107"/>
      <c r="V315" s="107"/>
      <c r="W315" s="107"/>
      <c r="X315" s="107"/>
      <c r="Y315" s="107"/>
      <c r="Z315" s="107"/>
      <c r="AA315" s="108"/>
      <c r="AB315" s="104"/>
      <c r="AC315" s="104"/>
      <c r="AD315" s="104"/>
    </row>
    <row r="316" spans="1:30" ht="38.25">
      <c r="A316" s="147"/>
      <c r="B316" s="83" t="s">
        <v>1454</v>
      </c>
      <c r="C316" s="128"/>
      <c r="D316" s="28"/>
      <c r="E316" s="83" t="s">
        <v>1455</v>
      </c>
      <c r="F316" s="83" t="s">
        <v>527</v>
      </c>
      <c r="G316" s="139" t="s">
        <v>188</v>
      </c>
      <c r="H316" s="128"/>
      <c r="I316" s="175"/>
      <c r="J316" s="175"/>
      <c r="K316" s="107"/>
      <c r="L316" s="107"/>
      <c r="M316" s="140"/>
      <c r="N316" s="107"/>
      <c r="O316" s="107"/>
      <c r="P316" s="107"/>
      <c r="Q316" s="107"/>
      <c r="R316" s="107"/>
      <c r="S316" s="107"/>
      <c r="T316" s="107"/>
      <c r="U316" s="107"/>
      <c r="V316" s="107"/>
      <c r="W316" s="107"/>
      <c r="X316" s="107"/>
      <c r="Y316" s="107"/>
      <c r="Z316" s="107"/>
      <c r="AA316" s="108"/>
      <c r="AB316" s="104"/>
      <c r="AC316" s="104"/>
      <c r="AD316" s="104"/>
    </row>
    <row r="317" spans="1:30" ht="140.25">
      <c r="A317" s="147"/>
      <c r="B317" s="83" t="s">
        <v>1884</v>
      </c>
      <c r="C317" s="128"/>
      <c r="D317" s="28"/>
      <c r="E317" s="83" t="s">
        <v>1455</v>
      </c>
      <c r="F317" s="83" t="s">
        <v>1456</v>
      </c>
      <c r="G317" s="139" t="s">
        <v>188</v>
      </c>
      <c r="H317" s="146"/>
      <c r="I317" s="175"/>
      <c r="J317" s="175"/>
      <c r="K317" s="107"/>
      <c r="L317" s="107"/>
      <c r="M317" s="140"/>
      <c r="N317" s="107"/>
      <c r="O317" s="107"/>
      <c r="P317" s="107"/>
      <c r="Q317" s="107"/>
      <c r="R317" s="107"/>
      <c r="S317" s="107"/>
      <c r="T317" s="107"/>
      <c r="U317" s="107"/>
      <c r="V317" s="107"/>
      <c r="W317" s="107"/>
      <c r="X317" s="107"/>
      <c r="Y317" s="107"/>
      <c r="Z317" s="107"/>
      <c r="AA317" s="108"/>
      <c r="AB317" s="104"/>
      <c r="AC317" s="104"/>
      <c r="AD317" s="104"/>
    </row>
    <row r="318" spans="1:30" ht="51">
      <c r="A318" s="147"/>
      <c r="B318" s="83" t="s">
        <v>1457</v>
      </c>
      <c r="C318" s="128"/>
      <c r="D318" s="28"/>
      <c r="E318" s="83" t="s">
        <v>1885</v>
      </c>
      <c r="F318" s="83" t="s">
        <v>1450</v>
      </c>
      <c r="G318" s="139" t="s">
        <v>188</v>
      </c>
      <c r="H318" s="146"/>
      <c r="I318" s="175"/>
      <c r="J318" s="175"/>
      <c r="K318" s="107"/>
      <c r="L318" s="107"/>
      <c r="M318" s="140"/>
      <c r="N318" s="107"/>
      <c r="O318" s="107"/>
      <c r="P318" s="107"/>
      <c r="Q318" s="107"/>
      <c r="R318" s="107"/>
      <c r="S318" s="107"/>
      <c r="T318" s="107"/>
      <c r="U318" s="107"/>
      <c r="V318" s="107"/>
      <c r="W318" s="107"/>
      <c r="X318" s="107"/>
      <c r="Y318" s="107"/>
      <c r="Z318" s="107"/>
      <c r="AA318" s="108"/>
      <c r="AB318" s="104"/>
      <c r="AC318" s="104"/>
      <c r="AD318" s="104"/>
    </row>
    <row r="319" spans="1:30" ht="140.25">
      <c r="A319" s="147"/>
      <c r="B319" s="83" t="s">
        <v>528</v>
      </c>
      <c r="C319" s="128"/>
      <c r="D319" s="28"/>
      <c r="E319" s="83" t="s">
        <v>1886</v>
      </c>
      <c r="F319" s="83" t="s">
        <v>1458</v>
      </c>
      <c r="G319" s="139" t="s">
        <v>188</v>
      </c>
      <c r="H319" s="146"/>
      <c r="I319" s="175"/>
      <c r="J319" s="175"/>
      <c r="K319" s="107"/>
      <c r="L319" s="107"/>
      <c r="M319" s="140"/>
      <c r="N319" s="107"/>
      <c r="O319" s="107"/>
      <c r="P319" s="107"/>
      <c r="Q319" s="107"/>
      <c r="R319" s="107"/>
      <c r="S319" s="107"/>
      <c r="T319" s="107"/>
      <c r="U319" s="107"/>
      <c r="V319" s="107"/>
      <c r="W319" s="107"/>
      <c r="X319" s="107"/>
      <c r="Y319" s="107"/>
      <c r="Z319" s="107"/>
      <c r="AA319" s="108"/>
      <c r="AB319" s="104"/>
      <c r="AC319" s="104"/>
      <c r="AD319" s="104"/>
    </row>
    <row r="320" spans="1:30" ht="25.5">
      <c r="A320" s="147"/>
      <c r="B320" s="83" t="s">
        <v>1459</v>
      </c>
      <c r="C320" s="128"/>
      <c r="D320" s="28"/>
      <c r="E320" s="83" t="s">
        <v>1460</v>
      </c>
      <c r="F320" s="83" t="s">
        <v>1461</v>
      </c>
      <c r="G320" s="139" t="s">
        <v>188</v>
      </c>
      <c r="H320" s="128"/>
      <c r="I320" s="175"/>
      <c r="J320" s="175"/>
      <c r="K320" s="107"/>
      <c r="L320" s="107"/>
      <c r="M320" s="140"/>
      <c r="N320" s="107"/>
      <c r="O320" s="107"/>
      <c r="P320" s="107"/>
      <c r="Q320" s="107"/>
      <c r="R320" s="107"/>
      <c r="S320" s="107"/>
      <c r="T320" s="107"/>
      <c r="U320" s="107"/>
      <c r="V320" s="107"/>
      <c r="W320" s="107"/>
      <c r="X320" s="107"/>
      <c r="Y320" s="107"/>
      <c r="Z320" s="107"/>
      <c r="AA320" s="108"/>
      <c r="AB320" s="104"/>
      <c r="AC320" s="104"/>
      <c r="AD320" s="104"/>
    </row>
    <row r="321" spans="1:30" ht="25.5">
      <c r="A321" s="147"/>
      <c r="B321" s="83" t="s">
        <v>1462</v>
      </c>
      <c r="C321" s="128"/>
      <c r="D321" s="28"/>
      <c r="E321" s="83" t="s">
        <v>1887</v>
      </c>
      <c r="F321" s="83" t="s">
        <v>1463</v>
      </c>
      <c r="G321" s="139" t="s">
        <v>188</v>
      </c>
      <c r="H321" s="83"/>
      <c r="I321" s="175"/>
      <c r="J321" s="175"/>
      <c r="K321" s="107"/>
      <c r="L321" s="107"/>
      <c r="M321" s="140"/>
      <c r="N321" s="107"/>
      <c r="O321" s="107"/>
      <c r="P321" s="107"/>
      <c r="Q321" s="107"/>
      <c r="R321" s="107"/>
      <c r="S321" s="107"/>
      <c r="T321" s="107"/>
      <c r="U321" s="107"/>
      <c r="V321" s="107"/>
      <c r="W321" s="107"/>
      <c r="X321" s="107"/>
      <c r="Y321" s="107"/>
      <c r="Z321" s="107"/>
      <c r="AA321" s="108"/>
      <c r="AB321" s="104"/>
      <c r="AC321" s="104"/>
      <c r="AD321" s="104"/>
    </row>
    <row r="322" spans="1:30" ht="38.25">
      <c r="A322" s="147"/>
      <c r="B322" s="83" t="s">
        <v>1464</v>
      </c>
      <c r="C322" s="128"/>
      <c r="D322" s="28"/>
      <c r="E322" s="83" t="s">
        <v>1888</v>
      </c>
      <c r="F322" s="83" t="s">
        <v>1465</v>
      </c>
      <c r="G322" s="139" t="s">
        <v>188</v>
      </c>
      <c r="H322" s="146"/>
      <c r="I322" s="175"/>
      <c r="J322" s="175"/>
      <c r="K322" s="107"/>
      <c r="L322" s="107"/>
      <c r="M322" s="140"/>
      <c r="N322" s="107"/>
      <c r="O322" s="107"/>
      <c r="P322" s="107"/>
      <c r="Q322" s="107"/>
      <c r="R322" s="107"/>
      <c r="S322" s="107"/>
      <c r="T322" s="107"/>
      <c r="U322" s="107"/>
      <c r="V322" s="107"/>
      <c r="W322" s="107"/>
      <c r="X322" s="107"/>
      <c r="Y322" s="107"/>
      <c r="Z322" s="107"/>
      <c r="AA322" s="108"/>
      <c r="AB322" s="104"/>
      <c r="AC322" s="104"/>
      <c r="AD322" s="104"/>
    </row>
    <row r="323" spans="1:30" ht="267.75">
      <c r="A323" s="147"/>
      <c r="B323" s="83" t="s">
        <v>1466</v>
      </c>
      <c r="C323" s="83" t="s">
        <v>1467</v>
      </c>
      <c r="D323" s="28"/>
      <c r="E323" s="83" t="s">
        <v>1889</v>
      </c>
      <c r="F323" s="83" t="s">
        <v>1890</v>
      </c>
      <c r="G323" s="139" t="s">
        <v>188</v>
      </c>
      <c r="H323" s="83"/>
      <c r="I323" s="175"/>
      <c r="J323" s="175"/>
      <c r="K323" s="107"/>
      <c r="L323" s="107"/>
      <c r="M323" s="140"/>
      <c r="N323" s="107"/>
      <c r="O323" s="107"/>
      <c r="P323" s="107"/>
      <c r="Q323" s="107"/>
      <c r="R323" s="107"/>
      <c r="S323" s="107"/>
      <c r="T323" s="107"/>
      <c r="U323" s="107"/>
      <c r="V323" s="107"/>
      <c r="W323" s="107"/>
      <c r="X323" s="107"/>
      <c r="Y323" s="107"/>
      <c r="Z323" s="107"/>
      <c r="AA323" s="108"/>
      <c r="AB323" s="104"/>
      <c r="AC323" s="104"/>
      <c r="AD323" s="104"/>
    </row>
    <row r="324" spans="1:30" ht="12.75">
      <c r="A324" s="236" t="s">
        <v>529</v>
      </c>
      <c r="B324" s="237"/>
      <c r="C324" s="237"/>
      <c r="D324" s="237"/>
      <c r="E324" s="237"/>
      <c r="F324" s="237"/>
      <c r="G324" s="237"/>
      <c r="H324" s="237"/>
      <c r="I324" s="237"/>
      <c r="J324" s="238"/>
      <c r="K324" s="176"/>
      <c r="L324" s="107"/>
      <c r="M324" s="140"/>
      <c r="N324" s="107"/>
      <c r="O324" s="107"/>
      <c r="P324" s="107"/>
      <c r="Q324" s="107"/>
      <c r="R324" s="107"/>
      <c r="S324" s="107"/>
      <c r="T324" s="107"/>
      <c r="U324" s="107"/>
      <c r="V324" s="107"/>
      <c r="W324" s="107"/>
      <c r="X324" s="107"/>
      <c r="Y324" s="107"/>
      <c r="Z324" s="107"/>
      <c r="AA324" s="108"/>
      <c r="AB324" s="104"/>
      <c r="AC324" s="104"/>
      <c r="AD324" s="104"/>
    </row>
    <row r="325" spans="1:30" ht="216.75">
      <c r="A325" s="141" t="s">
        <v>530</v>
      </c>
      <c r="B325" s="83" t="s">
        <v>531</v>
      </c>
      <c r="C325" s="83" t="s">
        <v>1096</v>
      </c>
      <c r="D325" s="28"/>
      <c r="E325" s="83" t="s">
        <v>1891</v>
      </c>
      <c r="F325" s="83" t="s">
        <v>1468</v>
      </c>
      <c r="G325" s="139" t="s">
        <v>188</v>
      </c>
      <c r="H325" s="150"/>
      <c r="I325" s="177"/>
      <c r="J325" s="177"/>
      <c r="K325" s="107"/>
      <c r="L325" s="107"/>
      <c r="M325" s="107"/>
      <c r="N325" s="107"/>
      <c r="O325" s="107"/>
      <c r="P325" s="107"/>
      <c r="Q325" s="107"/>
      <c r="R325" s="107"/>
      <c r="S325" s="107"/>
      <c r="T325" s="107"/>
      <c r="U325" s="107"/>
      <c r="V325" s="107"/>
      <c r="W325" s="107"/>
      <c r="X325" s="107"/>
      <c r="Y325" s="107"/>
      <c r="Z325" s="107"/>
      <c r="AA325" s="108"/>
      <c r="AB325" s="104"/>
      <c r="AC325" s="104"/>
      <c r="AD325" s="104"/>
    </row>
    <row r="326" spans="1:30" ht="114.75">
      <c r="A326" s="147"/>
      <c r="B326" s="83" t="s">
        <v>1892</v>
      </c>
      <c r="C326" s="128"/>
      <c r="D326" s="28"/>
      <c r="E326" s="83" t="s">
        <v>1893</v>
      </c>
      <c r="F326" s="83" t="s">
        <v>1469</v>
      </c>
      <c r="G326" s="139" t="s">
        <v>188</v>
      </c>
      <c r="H326" s="146"/>
      <c r="I326" s="177"/>
      <c r="J326" s="177"/>
      <c r="K326" s="107"/>
      <c r="L326" s="107"/>
      <c r="M326" s="140"/>
      <c r="N326" s="107"/>
      <c r="O326" s="107"/>
      <c r="P326" s="107"/>
      <c r="Q326" s="107"/>
      <c r="R326" s="107"/>
      <c r="S326" s="107"/>
      <c r="T326" s="107"/>
      <c r="U326" s="107"/>
      <c r="V326" s="107"/>
      <c r="W326" s="107"/>
      <c r="X326" s="107"/>
      <c r="Y326" s="107"/>
      <c r="Z326" s="107"/>
      <c r="AA326" s="108"/>
      <c r="AB326" s="104"/>
      <c r="AC326" s="104"/>
      <c r="AD326" s="104"/>
    </row>
    <row r="327" spans="1:30" ht="140.25">
      <c r="A327" s="147"/>
      <c r="B327" s="83" t="s">
        <v>1748</v>
      </c>
      <c r="C327" s="128"/>
      <c r="D327" s="28"/>
      <c r="E327" s="83" t="s">
        <v>1894</v>
      </c>
      <c r="F327" s="83" t="s">
        <v>1895</v>
      </c>
      <c r="G327" s="139" t="s">
        <v>188</v>
      </c>
      <c r="H327" s="146"/>
      <c r="I327" s="177"/>
      <c r="J327" s="177"/>
      <c r="K327" s="107"/>
      <c r="L327" s="107"/>
      <c r="M327" s="140"/>
      <c r="N327" s="107"/>
      <c r="O327" s="107"/>
      <c r="P327" s="107"/>
      <c r="Q327" s="107"/>
      <c r="R327" s="107"/>
      <c r="S327" s="107"/>
      <c r="T327" s="107"/>
      <c r="U327" s="107"/>
      <c r="V327" s="107"/>
      <c r="W327" s="107"/>
      <c r="X327" s="107"/>
      <c r="Y327" s="107"/>
      <c r="Z327" s="107"/>
      <c r="AA327" s="108"/>
      <c r="AB327" s="104"/>
      <c r="AC327" s="104"/>
      <c r="AD327" s="104"/>
    </row>
    <row r="328" spans="1:30" ht="102">
      <c r="A328" s="147"/>
      <c r="B328" s="83" t="s">
        <v>1896</v>
      </c>
      <c r="C328" s="128"/>
      <c r="D328" s="28"/>
      <c r="E328" s="83" t="s">
        <v>1897</v>
      </c>
      <c r="F328" s="83" t="s">
        <v>1468</v>
      </c>
      <c r="G328" s="139" t="s">
        <v>188</v>
      </c>
      <c r="H328" s="146"/>
      <c r="I328" s="177"/>
      <c r="J328" s="177"/>
      <c r="K328" s="107"/>
      <c r="L328" s="107"/>
      <c r="M328" s="140"/>
      <c r="N328" s="107"/>
      <c r="O328" s="107"/>
      <c r="P328" s="107"/>
      <c r="Q328" s="107"/>
      <c r="R328" s="107"/>
      <c r="S328" s="107"/>
      <c r="T328" s="107"/>
      <c r="U328" s="107"/>
      <c r="V328" s="107"/>
      <c r="W328" s="107"/>
      <c r="X328" s="107"/>
      <c r="Y328" s="107"/>
      <c r="Z328" s="107"/>
      <c r="AA328" s="108"/>
      <c r="AB328" s="104"/>
      <c r="AC328" s="104"/>
      <c r="AD328" s="104"/>
    </row>
    <row r="329" spans="1:30" ht="89.25">
      <c r="A329" s="147"/>
      <c r="B329" s="83" t="s">
        <v>31</v>
      </c>
      <c r="C329" s="128"/>
      <c r="D329" s="28"/>
      <c r="E329" s="83" t="s">
        <v>1750</v>
      </c>
      <c r="F329" s="83" t="s">
        <v>1898</v>
      </c>
      <c r="G329" s="139" t="s">
        <v>188</v>
      </c>
      <c r="H329" s="150"/>
      <c r="I329" s="177"/>
      <c r="J329" s="177"/>
      <c r="K329" s="107"/>
      <c r="L329" s="107"/>
      <c r="M329" s="140"/>
      <c r="N329" s="107"/>
      <c r="O329" s="107"/>
      <c r="P329" s="107"/>
      <c r="Q329" s="107"/>
      <c r="R329" s="107"/>
      <c r="S329" s="107"/>
      <c r="T329" s="107"/>
      <c r="U329" s="107"/>
      <c r="V329" s="107"/>
      <c r="W329" s="107"/>
      <c r="X329" s="107"/>
      <c r="Y329" s="107"/>
      <c r="Z329" s="107"/>
      <c r="AA329" s="108"/>
      <c r="AB329" s="104"/>
      <c r="AC329" s="104"/>
      <c r="AD329" s="104"/>
    </row>
    <row r="330" spans="1:30" ht="51">
      <c r="A330" s="147"/>
      <c r="B330" s="83" t="s">
        <v>1470</v>
      </c>
      <c r="C330" s="128"/>
      <c r="D330" s="28"/>
      <c r="E330" s="83" t="s">
        <v>1099</v>
      </c>
      <c r="F330" s="83" t="s">
        <v>36</v>
      </c>
      <c r="G330" s="139" t="s">
        <v>188</v>
      </c>
      <c r="H330" s="150"/>
      <c r="I330" s="177"/>
      <c r="J330" s="177"/>
      <c r="K330" s="107"/>
      <c r="L330" s="107"/>
      <c r="M330" s="140"/>
      <c r="N330" s="107"/>
      <c r="O330" s="107"/>
      <c r="P330" s="107"/>
      <c r="Q330" s="107"/>
      <c r="R330" s="107"/>
      <c r="S330" s="107"/>
      <c r="T330" s="107"/>
      <c r="U330" s="107"/>
      <c r="V330" s="107"/>
      <c r="W330" s="107"/>
      <c r="X330" s="107"/>
      <c r="Y330" s="107"/>
      <c r="Z330" s="107"/>
      <c r="AA330" s="108"/>
      <c r="AB330" s="104"/>
      <c r="AC330" s="104"/>
      <c r="AD330" s="104"/>
    </row>
    <row r="331" spans="1:30" ht="165.75">
      <c r="A331" s="147"/>
      <c r="B331" s="83" t="s">
        <v>538</v>
      </c>
      <c r="C331" s="128"/>
      <c r="D331" s="28"/>
      <c r="E331" s="83" t="s">
        <v>1899</v>
      </c>
      <c r="F331" s="83" t="s">
        <v>1471</v>
      </c>
      <c r="G331" s="139" t="s">
        <v>188</v>
      </c>
      <c r="H331" s="150"/>
      <c r="I331" s="177"/>
      <c r="J331" s="177"/>
      <c r="K331" s="107"/>
      <c r="L331" s="107"/>
      <c r="M331" s="140"/>
      <c r="N331" s="107"/>
      <c r="O331" s="107"/>
      <c r="P331" s="107"/>
      <c r="Q331" s="107"/>
      <c r="R331" s="107"/>
      <c r="S331" s="107"/>
      <c r="T331" s="107"/>
      <c r="U331" s="107"/>
      <c r="V331" s="107"/>
      <c r="W331" s="107"/>
      <c r="X331" s="107"/>
      <c r="Y331" s="107"/>
      <c r="Z331" s="107"/>
      <c r="AA331" s="108"/>
      <c r="AB331" s="104"/>
      <c r="AC331" s="104"/>
      <c r="AD331" s="104"/>
    </row>
    <row r="332" spans="1:30" ht="76.5">
      <c r="A332" s="147"/>
      <c r="B332" s="83" t="s">
        <v>1472</v>
      </c>
      <c r="C332" s="128"/>
      <c r="D332" s="28"/>
      <c r="E332" s="83" t="s">
        <v>1900</v>
      </c>
      <c r="F332" s="83" t="s">
        <v>1473</v>
      </c>
      <c r="G332" s="139" t="s">
        <v>188</v>
      </c>
      <c r="H332" s="150"/>
      <c r="I332" s="177"/>
      <c r="J332" s="177"/>
      <c r="K332" s="107"/>
      <c r="L332" s="107"/>
      <c r="M332" s="140"/>
      <c r="N332" s="107"/>
      <c r="O332" s="107"/>
      <c r="P332" s="107"/>
      <c r="Q332" s="107"/>
      <c r="R332" s="107"/>
      <c r="S332" s="107"/>
      <c r="T332" s="107"/>
      <c r="U332" s="107"/>
      <c r="V332" s="107"/>
      <c r="W332" s="107"/>
      <c r="X332" s="107"/>
      <c r="Y332" s="107"/>
      <c r="Z332" s="107"/>
      <c r="AA332" s="108"/>
      <c r="AB332" s="104"/>
      <c r="AC332" s="104"/>
      <c r="AD332" s="104"/>
    </row>
    <row r="333" spans="1:30" ht="89.25">
      <c r="A333" s="147"/>
      <c r="B333" s="83" t="s">
        <v>1474</v>
      </c>
      <c r="C333" s="128"/>
      <c r="D333" s="28"/>
      <c r="E333" s="83" t="s">
        <v>1901</v>
      </c>
      <c r="F333" s="83" t="s">
        <v>545</v>
      </c>
      <c r="G333" s="139" t="s">
        <v>188</v>
      </c>
      <c r="H333" s="150"/>
      <c r="I333" s="177"/>
      <c r="J333" s="177"/>
      <c r="K333" s="107"/>
      <c r="L333" s="107"/>
      <c r="M333" s="140"/>
      <c r="N333" s="107"/>
      <c r="O333" s="107"/>
      <c r="P333" s="107"/>
      <c r="Q333" s="107"/>
      <c r="R333" s="107"/>
      <c r="S333" s="107"/>
      <c r="T333" s="107"/>
      <c r="U333" s="107"/>
      <c r="V333" s="107"/>
      <c r="W333" s="107"/>
      <c r="X333" s="107"/>
      <c r="Y333" s="107"/>
      <c r="Z333" s="107"/>
      <c r="AA333" s="108"/>
      <c r="AB333" s="104"/>
      <c r="AC333" s="104"/>
      <c r="AD333" s="104"/>
    </row>
    <row r="334" spans="1:30" ht="76.5">
      <c r="A334" s="147"/>
      <c r="B334" s="83" t="s">
        <v>546</v>
      </c>
      <c r="C334" s="128"/>
      <c r="D334" s="28"/>
      <c r="E334" s="83" t="s">
        <v>1902</v>
      </c>
      <c r="F334" s="83" t="s">
        <v>548</v>
      </c>
      <c r="G334" s="139" t="s">
        <v>188</v>
      </c>
      <c r="H334" s="150"/>
      <c r="I334" s="177"/>
      <c r="J334" s="177"/>
      <c r="K334" s="107"/>
      <c r="L334" s="107"/>
      <c r="M334" s="140"/>
      <c r="N334" s="107"/>
      <c r="O334" s="107"/>
      <c r="P334" s="107"/>
      <c r="Q334" s="107"/>
      <c r="R334" s="107"/>
      <c r="S334" s="107"/>
      <c r="T334" s="107"/>
      <c r="U334" s="107"/>
      <c r="V334" s="107"/>
      <c r="W334" s="107"/>
      <c r="X334" s="107"/>
      <c r="Y334" s="107"/>
      <c r="Z334" s="107"/>
      <c r="AA334" s="108"/>
      <c r="AB334" s="104"/>
      <c r="AC334" s="104"/>
      <c r="AD334" s="104"/>
    </row>
    <row r="335" spans="1:30" ht="12.75">
      <c r="A335" s="236" t="s">
        <v>1903</v>
      </c>
      <c r="B335" s="237"/>
      <c r="C335" s="237"/>
      <c r="D335" s="237"/>
      <c r="E335" s="237"/>
      <c r="F335" s="237"/>
      <c r="G335" s="237"/>
      <c r="H335" s="237"/>
      <c r="I335" s="237"/>
      <c r="J335" s="238"/>
      <c r="K335" s="107"/>
      <c r="L335" s="107"/>
      <c r="M335" s="140"/>
      <c r="N335" s="107"/>
      <c r="O335" s="107"/>
      <c r="P335" s="107"/>
      <c r="Q335" s="107"/>
      <c r="R335" s="107"/>
      <c r="S335" s="107"/>
      <c r="T335" s="107"/>
      <c r="U335" s="107"/>
      <c r="V335" s="107"/>
      <c r="W335" s="107"/>
      <c r="X335" s="107"/>
      <c r="Y335" s="107"/>
      <c r="Z335" s="107"/>
      <c r="AA335" s="108"/>
      <c r="AB335" s="104"/>
      <c r="AC335" s="104"/>
      <c r="AD335" s="104"/>
    </row>
    <row r="336" spans="1:30" ht="38.25">
      <c r="A336" s="141" t="s">
        <v>549</v>
      </c>
      <c r="B336" s="83" t="s">
        <v>550</v>
      </c>
      <c r="C336" s="83" t="s">
        <v>551</v>
      </c>
      <c r="D336" s="28"/>
      <c r="E336" s="83" t="s">
        <v>552</v>
      </c>
      <c r="F336" s="83" t="s">
        <v>553</v>
      </c>
      <c r="G336" s="139" t="s">
        <v>188</v>
      </c>
      <c r="H336" s="146"/>
      <c r="I336" s="175"/>
      <c r="J336" s="175"/>
      <c r="K336" s="107"/>
      <c r="L336" s="107"/>
      <c r="M336" s="107"/>
      <c r="N336" s="107"/>
      <c r="O336" s="107"/>
      <c r="P336" s="107"/>
      <c r="Q336" s="107"/>
      <c r="R336" s="107"/>
      <c r="S336" s="107"/>
      <c r="T336" s="107"/>
      <c r="U336" s="107"/>
      <c r="V336" s="107"/>
      <c r="W336" s="107"/>
      <c r="X336" s="107"/>
      <c r="Y336" s="107"/>
      <c r="Z336" s="107"/>
      <c r="AA336" s="108"/>
      <c r="AB336" s="104"/>
      <c r="AC336" s="104"/>
      <c r="AD336" s="104"/>
    </row>
    <row r="337" spans="1:30" ht="25.5">
      <c r="A337" s="147"/>
      <c r="B337" s="83" t="s">
        <v>554</v>
      </c>
      <c r="C337" s="128"/>
      <c r="D337" s="28"/>
      <c r="E337" s="83" t="s">
        <v>555</v>
      </c>
      <c r="F337" s="83" t="s">
        <v>556</v>
      </c>
      <c r="G337" s="139" t="s">
        <v>188</v>
      </c>
      <c r="H337" s="146"/>
      <c r="I337" s="175"/>
      <c r="J337" s="175"/>
      <c r="K337" s="107"/>
      <c r="L337" s="107"/>
      <c r="M337" s="140"/>
      <c r="N337" s="107"/>
      <c r="O337" s="107"/>
      <c r="P337" s="107"/>
      <c r="Q337" s="107"/>
      <c r="R337" s="107"/>
      <c r="S337" s="107"/>
      <c r="T337" s="107"/>
      <c r="U337" s="107"/>
      <c r="V337" s="107"/>
      <c r="W337" s="107"/>
      <c r="X337" s="107"/>
      <c r="Y337" s="107"/>
      <c r="Z337" s="107"/>
      <c r="AA337" s="108"/>
      <c r="AB337" s="104"/>
      <c r="AC337" s="104"/>
      <c r="AD337" s="104"/>
    </row>
    <row r="338" spans="1:30" ht="38.25">
      <c r="A338" s="147"/>
      <c r="B338" s="83" t="s">
        <v>1904</v>
      </c>
      <c r="C338" s="128"/>
      <c r="D338" s="28"/>
      <c r="E338" s="83" t="s">
        <v>558</v>
      </c>
      <c r="F338" s="83" t="s">
        <v>559</v>
      </c>
      <c r="G338" s="139" t="s">
        <v>188</v>
      </c>
      <c r="H338" s="146"/>
      <c r="I338" s="175"/>
      <c r="J338" s="175"/>
      <c r="K338" s="107"/>
      <c r="L338" s="107"/>
      <c r="M338" s="140"/>
      <c r="N338" s="107"/>
      <c r="O338" s="107"/>
      <c r="P338" s="107"/>
      <c r="Q338" s="107"/>
      <c r="R338" s="107"/>
      <c r="S338" s="107"/>
      <c r="T338" s="107"/>
      <c r="U338" s="107"/>
      <c r="V338" s="107"/>
      <c r="W338" s="107"/>
      <c r="X338" s="107"/>
      <c r="Y338" s="107"/>
      <c r="Z338" s="107"/>
      <c r="AA338" s="108"/>
      <c r="AB338" s="104"/>
      <c r="AC338" s="104"/>
      <c r="AD338" s="104"/>
    </row>
    <row r="339" spans="1:30" ht="38.25">
      <c r="A339" s="147"/>
      <c r="B339" s="83" t="s">
        <v>560</v>
      </c>
      <c r="C339" s="128"/>
      <c r="D339" s="28"/>
      <c r="E339" s="128"/>
      <c r="F339" s="83" t="s">
        <v>559</v>
      </c>
      <c r="G339" s="139" t="s">
        <v>188</v>
      </c>
      <c r="H339" s="178"/>
      <c r="I339" s="175"/>
      <c r="J339" s="175"/>
      <c r="K339" s="107"/>
      <c r="L339" s="107"/>
      <c r="M339" s="140"/>
      <c r="N339" s="107"/>
      <c r="O339" s="107"/>
      <c r="P339" s="107"/>
      <c r="Q339" s="107"/>
      <c r="R339" s="107"/>
      <c r="S339" s="107"/>
      <c r="T339" s="107"/>
      <c r="U339" s="107"/>
      <c r="V339" s="107"/>
      <c r="W339" s="107"/>
      <c r="X339" s="107"/>
      <c r="Y339" s="107"/>
      <c r="Z339" s="107"/>
      <c r="AA339" s="108"/>
      <c r="AB339" s="104"/>
      <c r="AC339" s="104"/>
      <c r="AD339" s="104"/>
    </row>
    <row r="340" spans="1:30" ht="38.25">
      <c r="A340" s="147"/>
      <c r="B340" s="83" t="s">
        <v>561</v>
      </c>
      <c r="C340" s="128"/>
      <c r="D340" s="28"/>
      <c r="E340" s="83" t="s">
        <v>562</v>
      </c>
      <c r="F340" s="83" t="s">
        <v>563</v>
      </c>
      <c r="G340" s="139" t="s">
        <v>188</v>
      </c>
      <c r="H340" s="178"/>
      <c r="I340" s="175"/>
      <c r="J340" s="175"/>
      <c r="K340" s="107"/>
      <c r="L340" s="107"/>
      <c r="M340" s="140"/>
      <c r="N340" s="107"/>
      <c r="O340" s="107"/>
      <c r="P340" s="107"/>
      <c r="Q340" s="107"/>
      <c r="R340" s="107"/>
      <c r="S340" s="107"/>
      <c r="T340" s="107"/>
      <c r="U340" s="107"/>
      <c r="V340" s="107"/>
      <c r="W340" s="107"/>
      <c r="X340" s="107"/>
      <c r="Y340" s="107"/>
      <c r="Z340" s="107"/>
      <c r="AA340" s="108"/>
      <c r="AB340" s="104"/>
      <c r="AC340" s="104"/>
      <c r="AD340" s="104"/>
    </row>
    <row r="341" spans="1:30" ht="38.25">
      <c r="A341" s="147"/>
      <c r="B341" s="83" t="s">
        <v>564</v>
      </c>
      <c r="C341" s="128"/>
      <c r="D341" s="28"/>
      <c r="E341" s="83" t="s">
        <v>1475</v>
      </c>
      <c r="F341" s="83" t="s">
        <v>1476</v>
      </c>
      <c r="G341" s="139" t="s">
        <v>188</v>
      </c>
      <c r="H341" s="146"/>
      <c r="I341" s="175"/>
      <c r="J341" s="175"/>
      <c r="K341" s="107"/>
      <c r="L341" s="107"/>
      <c r="M341" s="140"/>
      <c r="N341" s="107"/>
      <c r="O341" s="107"/>
      <c r="P341" s="107"/>
      <c r="Q341" s="107"/>
      <c r="R341" s="107"/>
      <c r="S341" s="107"/>
      <c r="T341" s="107"/>
      <c r="U341" s="107"/>
      <c r="V341" s="107"/>
      <c r="W341" s="107"/>
      <c r="X341" s="107"/>
      <c r="Y341" s="107"/>
      <c r="Z341" s="107"/>
      <c r="AA341" s="108"/>
      <c r="AB341" s="104"/>
      <c r="AC341" s="104"/>
      <c r="AD341" s="104"/>
    </row>
    <row r="342" spans="1:30" ht="51">
      <c r="A342" s="141" t="s">
        <v>1905</v>
      </c>
      <c r="B342" s="83" t="s">
        <v>568</v>
      </c>
      <c r="C342" s="83" t="s">
        <v>569</v>
      </c>
      <c r="D342" s="28"/>
      <c r="E342" s="83" t="s">
        <v>570</v>
      </c>
      <c r="F342" s="83" t="s">
        <v>571</v>
      </c>
      <c r="G342" s="139" t="s">
        <v>188</v>
      </c>
      <c r="H342" s="261"/>
      <c r="I342" s="175"/>
      <c r="J342" s="175"/>
      <c r="K342" s="107"/>
      <c r="L342" s="107"/>
      <c r="M342" s="140"/>
      <c r="N342" s="107"/>
      <c r="O342" s="107"/>
      <c r="P342" s="107"/>
      <c r="Q342" s="107"/>
      <c r="R342" s="107"/>
      <c r="S342" s="107"/>
      <c r="T342" s="107"/>
      <c r="U342" s="107"/>
      <c r="V342" s="107"/>
      <c r="W342" s="107"/>
      <c r="X342" s="107"/>
      <c r="Y342" s="107"/>
      <c r="Z342" s="107"/>
      <c r="AA342" s="108"/>
      <c r="AB342" s="104"/>
      <c r="AC342" s="104"/>
      <c r="AD342" s="104"/>
    </row>
    <row r="343" spans="1:30" ht="25.5">
      <c r="A343" s="147"/>
      <c r="B343" s="83" t="s">
        <v>572</v>
      </c>
      <c r="C343" s="128"/>
      <c r="D343" s="28"/>
      <c r="E343" s="83" t="s">
        <v>1477</v>
      </c>
      <c r="F343" s="83" t="s">
        <v>574</v>
      </c>
      <c r="G343" s="139" t="s">
        <v>188</v>
      </c>
      <c r="H343" s="235"/>
      <c r="I343" s="175"/>
      <c r="J343" s="175"/>
      <c r="K343" s="107"/>
      <c r="L343" s="107"/>
      <c r="M343" s="140"/>
      <c r="N343" s="107"/>
      <c r="O343" s="107"/>
      <c r="P343" s="107"/>
      <c r="Q343" s="107"/>
      <c r="R343" s="107"/>
      <c r="S343" s="107"/>
      <c r="T343" s="107"/>
      <c r="U343" s="107"/>
      <c r="V343" s="107"/>
      <c r="W343" s="107"/>
      <c r="X343" s="107"/>
      <c r="Y343" s="107"/>
      <c r="Z343" s="107"/>
      <c r="AA343" s="108"/>
      <c r="AB343" s="104"/>
      <c r="AC343" s="104"/>
      <c r="AD343" s="104"/>
    </row>
    <row r="344" spans="1:30" ht="38.25">
      <c r="A344" s="147"/>
      <c r="B344" s="83" t="s">
        <v>575</v>
      </c>
      <c r="C344" s="128"/>
      <c r="D344" s="28"/>
      <c r="E344" s="83" t="s">
        <v>1478</v>
      </c>
      <c r="F344" s="83" t="s">
        <v>577</v>
      </c>
      <c r="G344" s="139" t="s">
        <v>188</v>
      </c>
      <c r="H344" s="235"/>
      <c r="I344" s="175"/>
      <c r="J344" s="175"/>
      <c r="K344" s="107"/>
      <c r="L344" s="107"/>
      <c r="M344" s="140"/>
      <c r="N344" s="107"/>
      <c r="O344" s="107"/>
      <c r="P344" s="107"/>
      <c r="Q344" s="107"/>
      <c r="R344" s="107"/>
      <c r="S344" s="107"/>
      <c r="T344" s="107"/>
      <c r="U344" s="107"/>
      <c r="V344" s="107"/>
      <c r="W344" s="107"/>
      <c r="X344" s="107"/>
      <c r="Y344" s="107"/>
      <c r="Z344" s="107"/>
      <c r="AA344" s="108"/>
      <c r="AB344" s="104"/>
      <c r="AC344" s="104"/>
      <c r="AD344" s="104"/>
    </row>
    <row r="345" spans="1:30" ht="76.5">
      <c r="A345" s="147"/>
      <c r="B345" s="83" t="s">
        <v>578</v>
      </c>
      <c r="C345" s="128"/>
      <c r="D345" s="28"/>
      <c r="E345" s="83" t="s">
        <v>1479</v>
      </c>
      <c r="F345" s="83" t="s">
        <v>580</v>
      </c>
      <c r="G345" s="139" t="s">
        <v>188</v>
      </c>
      <c r="H345" s="235"/>
      <c r="I345" s="175"/>
      <c r="J345" s="175"/>
      <c r="K345" s="107"/>
      <c r="L345" s="107"/>
      <c r="M345" s="140"/>
      <c r="N345" s="107"/>
      <c r="O345" s="107"/>
      <c r="P345" s="107"/>
      <c r="Q345" s="107"/>
      <c r="R345" s="107"/>
      <c r="S345" s="107"/>
      <c r="T345" s="107"/>
      <c r="U345" s="107"/>
      <c r="V345" s="107"/>
      <c r="W345" s="107"/>
      <c r="X345" s="107"/>
      <c r="Y345" s="107"/>
      <c r="Z345" s="107"/>
      <c r="AA345" s="108"/>
      <c r="AB345" s="104"/>
      <c r="AC345" s="104"/>
      <c r="AD345" s="104"/>
    </row>
    <row r="346" spans="1:30" ht="25.5">
      <c r="A346" s="147"/>
      <c r="B346" s="83" t="s">
        <v>581</v>
      </c>
      <c r="C346" s="128"/>
      <c r="D346" s="28"/>
      <c r="E346" s="83" t="s">
        <v>582</v>
      </c>
      <c r="F346" s="83" t="s">
        <v>583</v>
      </c>
      <c r="G346" s="139" t="s">
        <v>188</v>
      </c>
      <c r="H346" s="235"/>
      <c r="I346" s="175"/>
      <c r="J346" s="175"/>
      <c r="K346" s="107"/>
      <c r="L346" s="107"/>
      <c r="M346" s="140"/>
      <c r="N346" s="107"/>
      <c r="O346" s="107"/>
      <c r="P346" s="107"/>
      <c r="Q346" s="107"/>
      <c r="R346" s="107"/>
      <c r="S346" s="107"/>
      <c r="T346" s="107"/>
      <c r="U346" s="107"/>
      <c r="V346" s="107"/>
      <c r="W346" s="107"/>
      <c r="X346" s="107"/>
      <c r="Y346" s="107"/>
      <c r="Z346" s="107"/>
      <c r="AA346" s="108"/>
      <c r="AB346" s="104"/>
      <c r="AC346" s="104"/>
      <c r="AD346" s="104"/>
    </row>
    <row r="347" spans="1:30" ht="25.5">
      <c r="A347" s="147"/>
      <c r="B347" s="83" t="s">
        <v>584</v>
      </c>
      <c r="C347" s="128"/>
      <c r="D347" s="28"/>
      <c r="E347" s="83" t="s">
        <v>585</v>
      </c>
      <c r="F347" s="83" t="s">
        <v>586</v>
      </c>
      <c r="G347" s="139" t="s">
        <v>188</v>
      </c>
      <c r="H347" s="235"/>
      <c r="I347" s="175"/>
      <c r="J347" s="175"/>
      <c r="K347" s="107"/>
      <c r="L347" s="107"/>
      <c r="M347" s="140"/>
      <c r="N347" s="107"/>
      <c r="O347" s="107"/>
      <c r="P347" s="107"/>
      <c r="Q347" s="107"/>
      <c r="R347" s="107"/>
      <c r="S347" s="107"/>
      <c r="T347" s="107"/>
      <c r="U347" s="107"/>
      <c r="V347" s="107"/>
      <c r="W347" s="107"/>
      <c r="X347" s="107"/>
      <c r="Y347" s="107"/>
      <c r="Z347" s="107"/>
      <c r="AA347" s="108"/>
      <c r="AB347" s="104"/>
      <c r="AC347" s="104"/>
      <c r="AD347" s="104"/>
    </row>
    <row r="348" spans="1:30" ht="38.25">
      <c r="A348" s="147"/>
      <c r="B348" s="83" t="s">
        <v>587</v>
      </c>
      <c r="C348" s="128"/>
      <c r="D348" s="28"/>
      <c r="E348" s="83" t="s">
        <v>1480</v>
      </c>
      <c r="F348" s="83" t="s">
        <v>589</v>
      </c>
      <c r="G348" s="139" t="s">
        <v>188</v>
      </c>
      <c r="H348" s="235"/>
      <c r="I348" s="175"/>
      <c r="J348" s="175"/>
      <c r="K348" s="107"/>
      <c r="L348" s="107"/>
      <c r="M348" s="140"/>
      <c r="N348" s="107"/>
      <c r="O348" s="107"/>
      <c r="P348" s="107"/>
      <c r="Q348" s="107"/>
      <c r="R348" s="107"/>
      <c r="S348" s="107"/>
      <c r="T348" s="107"/>
      <c r="U348" s="107"/>
      <c r="V348" s="107"/>
      <c r="W348" s="107"/>
      <c r="X348" s="107"/>
      <c r="Y348" s="107"/>
      <c r="Z348" s="107"/>
      <c r="AA348" s="108"/>
      <c r="AB348" s="104"/>
      <c r="AC348" s="104"/>
      <c r="AD348" s="104"/>
    </row>
    <row r="349" spans="1:30" ht="76.5">
      <c r="A349" s="147"/>
      <c r="B349" s="83" t="s">
        <v>590</v>
      </c>
      <c r="C349" s="128"/>
      <c r="D349" s="28"/>
      <c r="E349" s="83" t="s">
        <v>1481</v>
      </c>
      <c r="F349" s="83" t="s">
        <v>592</v>
      </c>
      <c r="G349" s="139" t="s">
        <v>188</v>
      </c>
      <c r="H349" s="235"/>
      <c r="I349" s="175"/>
      <c r="J349" s="175"/>
      <c r="K349" s="107"/>
      <c r="L349" s="107"/>
      <c r="M349" s="140"/>
      <c r="N349" s="107"/>
      <c r="O349" s="107"/>
      <c r="P349" s="107"/>
      <c r="Q349" s="107"/>
      <c r="R349" s="107"/>
      <c r="S349" s="107"/>
      <c r="T349" s="107"/>
      <c r="U349" s="107"/>
      <c r="V349" s="107"/>
      <c r="W349" s="107"/>
      <c r="X349" s="107"/>
      <c r="Y349" s="107"/>
      <c r="Z349" s="107"/>
      <c r="AA349" s="108"/>
      <c r="AB349" s="104"/>
      <c r="AC349" s="104"/>
      <c r="AD349" s="104"/>
    </row>
    <row r="350" spans="1:30" ht="51">
      <c r="A350" s="147"/>
      <c r="B350" s="83" t="s">
        <v>593</v>
      </c>
      <c r="C350" s="128"/>
      <c r="D350" s="28"/>
      <c r="E350" s="83" t="s">
        <v>594</v>
      </c>
      <c r="F350" s="83" t="s">
        <v>1482</v>
      </c>
      <c r="G350" s="139" t="s">
        <v>188</v>
      </c>
      <c r="H350" s="234"/>
      <c r="I350" s="175"/>
      <c r="J350" s="175"/>
      <c r="K350" s="107"/>
      <c r="L350" s="107"/>
      <c r="M350" s="140"/>
      <c r="N350" s="107"/>
      <c r="O350" s="107"/>
      <c r="P350" s="107"/>
      <c r="Q350" s="107"/>
      <c r="R350" s="107"/>
      <c r="S350" s="107"/>
      <c r="T350" s="107"/>
      <c r="U350" s="107"/>
      <c r="V350" s="107"/>
      <c r="W350" s="107"/>
      <c r="X350" s="107"/>
      <c r="Y350" s="107"/>
      <c r="Z350" s="107"/>
      <c r="AA350" s="108"/>
      <c r="AB350" s="104"/>
      <c r="AC350" s="104"/>
      <c r="AD350" s="104"/>
    </row>
    <row r="351" spans="1:30" ht="12.75">
      <c r="A351" s="236" t="s">
        <v>1906</v>
      </c>
      <c r="B351" s="237"/>
      <c r="C351" s="237"/>
      <c r="D351" s="237"/>
      <c r="E351" s="237"/>
      <c r="F351" s="237"/>
      <c r="G351" s="237"/>
      <c r="H351" s="237"/>
      <c r="I351" s="237"/>
      <c r="J351" s="238"/>
      <c r="K351" s="107"/>
      <c r="L351" s="107"/>
      <c r="M351" s="140"/>
      <c r="N351" s="107"/>
      <c r="O351" s="107"/>
      <c r="P351" s="107"/>
      <c r="Q351" s="107"/>
      <c r="R351" s="107"/>
      <c r="S351" s="107"/>
      <c r="T351" s="107"/>
      <c r="U351" s="107"/>
      <c r="V351" s="107"/>
      <c r="W351" s="107"/>
      <c r="X351" s="107"/>
      <c r="Y351" s="107"/>
      <c r="Z351" s="107"/>
      <c r="AA351" s="108"/>
      <c r="AB351" s="104"/>
      <c r="AC351" s="104"/>
      <c r="AD351" s="104"/>
    </row>
    <row r="352" spans="1:30" ht="89.25">
      <c r="A352" s="147"/>
      <c r="B352" s="83" t="s">
        <v>1483</v>
      </c>
      <c r="C352" s="83" t="s">
        <v>1907</v>
      </c>
      <c r="D352" s="28"/>
      <c r="E352" s="83" t="s">
        <v>1484</v>
      </c>
      <c r="F352" s="83" t="s">
        <v>596</v>
      </c>
      <c r="G352" s="139" t="s">
        <v>188</v>
      </c>
      <c r="H352" s="179"/>
      <c r="I352" s="180"/>
      <c r="J352" s="180"/>
      <c r="K352" s="107"/>
      <c r="L352" s="107"/>
      <c r="M352" s="107"/>
      <c r="N352" s="107"/>
      <c r="O352" s="107"/>
      <c r="P352" s="107"/>
      <c r="Q352" s="107"/>
      <c r="R352" s="107"/>
      <c r="S352" s="107"/>
      <c r="T352" s="107"/>
      <c r="U352" s="107"/>
      <c r="V352" s="107"/>
      <c r="W352" s="107"/>
      <c r="X352" s="107"/>
      <c r="Y352" s="107"/>
      <c r="Z352" s="107"/>
      <c r="AA352" s="108"/>
      <c r="AB352" s="104"/>
      <c r="AC352" s="104"/>
      <c r="AD352" s="104"/>
    </row>
    <row r="353" spans="1:30" ht="127.5">
      <c r="A353" s="147"/>
      <c r="B353" s="83" t="s">
        <v>1908</v>
      </c>
      <c r="C353" s="128"/>
      <c r="D353" s="28"/>
      <c r="E353" s="83" t="s">
        <v>1909</v>
      </c>
      <c r="F353" s="83" t="s">
        <v>1910</v>
      </c>
      <c r="G353" s="139" t="s">
        <v>188</v>
      </c>
      <c r="H353" s="179"/>
      <c r="I353" s="180"/>
      <c r="J353" s="180"/>
      <c r="K353" s="107"/>
      <c r="L353" s="107"/>
      <c r="M353" s="140"/>
      <c r="N353" s="107"/>
      <c r="O353" s="107"/>
      <c r="P353" s="107"/>
      <c r="Q353" s="107"/>
      <c r="R353" s="107"/>
      <c r="S353" s="107"/>
      <c r="T353" s="107"/>
      <c r="U353" s="107"/>
      <c r="V353" s="107"/>
      <c r="W353" s="107"/>
      <c r="X353" s="107"/>
      <c r="Y353" s="107"/>
      <c r="Z353" s="107"/>
      <c r="AA353" s="108"/>
      <c r="AB353" s="104"/>
      <c r="AC353" s="104"/>
      <c r="AD353" s="104"/>
    </row>
    <row r="354" spans="1:30" ht="51">
      <c r="A354" s="147"/>
      <c r="B354" s="83" t="s">
        <v>1911</v>
      </c>
      <c r="C354" s="83" t="s">
        <v>1907</v>
      </c>
      <c r="D354" s="28"/>
      <c r="E354" s="83" t="s">
        <v>1485</v>
      </c>
      <c r="F354" s="83" t="s">
        <v>597</v>
      </c>
      <c r="G354" s="139" t="s">
        <v>188</v>
      </c>
      <c r="H354" s="83"/>
      <c r="I354" s="181"/>
      <c r="J354" s="181"/>
      <c r="K354" s="107"/>
      <c r="L354" s="107"/>
      <c r="M354" s="140"/>
      <c r="N354" s="107"/>
      <c r="O354" s="107"/>
      <c r="P354" s="107"/>
      <c r="Q354" s="107"/>
      <c r="R354" s="107"/>
      <c r="S354" s="107"/>
      <c r="T354" s="107"/>
      <c r="U354" s="107"/>
      <c r="V354" s="107"/>
      <c r="W354" s="107"/>
      <c r="X354" s="107"/>
      <c r="Y354" s="107"/>
      <c r="Z354" s="107"/>
      <c r="AA354" s="108"/>
      <c r="AB354" s="104"/>
      <c r="AC354" s="104"/>
      <c r="AD354" s="104"/>
    </row>
    <row r="355" spans="1:30" ht="63.75">
      <c r="A355" s="147"/>
      <c r="B355" s="83" t="s">
        <v>1912</v>
      </c>
      <c r="C355" s="83" t="s">
        <v>1907</v>
      </c>
      <c r="D355" s="28"/>
      <c r="E355" s="83" t="s">
        <v>1913</v>
      </c>
      <c r="F355" s="83" t="s">
        <v>598</v>
      </c>
      <c r="G355" s="139" t="s">
        <v>188</v>
      </c>
      <c r="H355" s="28"/>
      <c r="I355" s="182"/>
      <c r="J355" s="182"/>
      <c r="K355" s="107"/>
      <c r="L355" s="107"/>
      <c r="M355" s="140"/>
      <c r="N355" s="107"/>
      <c r="O355" s="107"/>
      <c r="P355" s="107"/>
      <c r="Q355" s="107"/>
      <c r="R355" s="107"/>
      <c r="S355" s="107"/>
      <c r="T355" s="107"/>
      <c r="U355" s="107"/>
      <c r="V355" s="107"/>
      <c r="W355" s="107"/>
      <c r="X355" s="107"/>
      <c r="Y355" s="107"/>
      <c r="Z355" s="107"/>
      <c r="AA355" s="108"/>
      <c r="AB355" s="104"/>
      <c r="AC355" s="104"/>
      <c r="AD355" s="104"/>
    </row>
    <row r="356" spans="1:30" ht="51">
      <c r="A356" s="147"/>
      <c r="B356" s="83" t="s">
        <v>1486</v>
      </c>
      <c r="C356" s="83" t="s">
        <v>1907</v>
      </c>
      <c r="D356" s="28"/>
      <c r="E356" s="83" t="s">
        <v>1487</v>
      </c>
      <c r="F356" s="83" t="s">
        <v>1914</v>
      </c>
      <c r="G356" s="139" t="s">
        <v>188</v>
      </c>
      <c r="H356" s="28"/>
      <c r="I356" s="180"/>
      <c r="J356" s="180"/>
      <c r="K356" s="107"/>
      <c r="L356" s="107"/>
      <c r="M356" s="140"/>
      <c r="N356" s="107"/>
      <c r="O356" s="107"/>
      <c r="P356" s="107"/>
      <c r="Q356" s="107"/>
      <c r="R356" s="107"/>
      <c r="S356" s="107"/>
      <c r="T356" s="107"/>
      <c r="U356" s="107"/>
      <c r="V356" s="107"/>
      <c r="W356" s="107"/>
      <c r="X356" s="107"/>
      <c r="Y356" s="107"/>
      <c r="Z356" s="107"/>
      <c r="AA356" s="108"/>
      <c r="AB356" s="104"/>
      <c r="AC356" s="104"/>
      <c r="AD356" s="104"/>
    </row>
    <row r="357" spans="1:30" ht="76.5">
      <c r="A357" s="147"/>
      <c r="B357" s="83" t="s">
        <v>1488</v>
      </c>
      <c r="C357" s="83" t="s">
        <v>1907</v>
      </c>
      <c r="D357" s="28"/>
      <c r="E357" s="83" t="s">
        <v>1489</v>
      </c>
      <c r="F357" s="83" t="s">
        <v>599</v>
      </c>
      <c r="G357" s="139" t="s">
        <v>188</v>
      </c>
      <c r="H357" s="160"/>
      <c r="I357" s="180"/>
      <c r="J357" s="180"/>
      <c r="K357" s="107"/>
      <c r="L357" s="107"/>
      <c r="M357" s="140"/>
      <c r="N357" s="107"/>
      <c r="O357" s="107"/>
      <c r="P357" s="107"/>
      <c r="Q357" s="107"/>
      <c r="R357" s="107"/>
      <c r="S357" s="107"/>
      <c r="T357" s="107"/>
      <c r="U357" s="107"/>
      <c r="V357" s="107"/>
      <c r="W357" s="107"/>
      <c r="X357" s="107"/>
      <c r="Y357" s="107"/>
      <c r="Z357" s="107"/>
      <c r="AA357" s="108"/>
      <c r="AB357" s="104"/>
      <c r="AC357" s="104"/>
      <c r="AD357" s="104"/>
    </row>
    <row r="358" spans="1:30" ht="140.25">
      <c r="A358" s="147"/>
      <c r="B358" s="83" t="s">
        <v>1915</v>
      </c>
      <c r="C358" s="83" t="s">
        <v>1907</v>
      </c>
      <c r="D358" s="28"/>
      <c r="E358" s="83" t="s">
        <v>1489</v>
      </c>
      <c r="F358" s="83" t="s">
        <v>599</v>
      </c>
      <c r="G358" s="139" t="s">
        <v>188</v>
      </c>
      <c r="H358" s="28"/>
      <c r="I358" s="160"/>
      <c r="J358" s="160"/>
      <c r="K358" s="107"/>
      <c r="L358" s="107"/>
      <c r="M358" s="140"/>
      <c r="N358" s="107"/>
      <c r="O358" s="107"/>
      <c r="P358" s="107"/>
      <c r="Q358" s="107"/>
      <c r="R358" s="107"/>
      <c r="S358" s="107"/>
      <c r="T358" s="107"/>
      <c r="U358" s="107"/>
      <c r="V358" s="107"/>
      <c r="W358" s="107"/>
      <c r="X358" s="107"/>
      <c r="Y358" s="107"/>
      <c r="Z358" s="107"/>
      <c r="AA358" s="108"/>
      <c r="AB358" s="104"/>
      <c r="AC358" s="104"/>
      <c r="AD358" s="104"/>
    </row>
    <row r="359" spans="1:30" ht="63.75">
      <c r="A359" s="147"/>
      <c r="B359" s="83" t="s">
        <v>1490</v>
      </c>
      <c r="C359" s="83" t="s">
        <v>1907</v>
      </c>
      <c r="D359" s="28"/>
      <c r="E359" s="83" t="s">
        <v>1491</v>
      </c>
      <c r="F359" s="83" t="s">
        <v>600</v>
      </c>
      <c r="G359" s="139" t="s">
        <v>188</v>
      </c>
      <c r="H359" s="160"/>
      <c r="I359" s="180"/>
      <c r="J359" s="180"/>
      <c r="K359" s="107"/>
      <c r="L359" s="107"/>
      <c r="M359" s="140"/>
      <c r="N359" s="107"/>
      <c r="O359" s="107"/>
      <c r="P359" s="107"/>
      <c r="Q359" s="107"/>
      <c r="R359" s="107"/>
      <c r="S359" s="107"/>
      <c r="T359" s="107"/>
      <c r="U359" s="107"/>
      <c r="V359" s="107"/>
      <c r="W359" s="107"/>
      <c r="X359" s="107"/>
      <c r="Y359" s="107"/>
      <c r="Z359" s="107"/>
      <c r="AA359" s="108"/>
      <c r="AB359" s="104"/>
      <c r="AC359" s="104"/>
      <c r="AD359" s="104"/>
    </row>
    <row r="360" spans="1:30" ht="63.75">
      <c r="A360" s="147"/>
      <c r="B360" s="83" t="s">
        <v>1218</v>
      </c>
      <c r="C360" s="83" t="s">
        <v>1907</v>
      </c>
      <c r="D360" s="28"/>
      <c r="E360" s="83" t="s">
        <v>1492</v>
      </c>
      <c r="F360" s="83" t="s">
        <v>1493</v>
      </c>
      <c r="G360" s="139" t="s">
        <v>188</v>
      </c>
      <c r="H360" s="160"/>
      <c r="I360" s="180"/>
      <c r="J360" s="180"/>
      <c r="K360" s="107"/>
      <c r="L360" s="107"/>
      <c r="M360" s="140"/>
      <c r="N360" s="107"/>
      <c r="O360" s="107"/>
      <c r="P360" s="107"/>
      <c r="Q360" s="107"/>
      <c r="R360" s="107"/>
      <c r="S360" s="107"/>
      <c r="T360" s="107"/>
      <c r="U360" s="107"/>
      <c r="V360" s="107"/>
      <c r="W360" s="107"/>
      <c r="X360" s="107"/>
      <c r="Y360" s="107"/>
      <c r="Z360" s="107"/>
      <c r="AA360" s="108"/>
      <c r="AB360" s="104"/>
      <c r="AC360" s="104"/>
      <c r="AD360" s="104"/>
    </row>
    <row r="361" spans="1:30" ht="89.25">
      <c r="A361" s="147"/>
      <c r="B361" s="83" t="s">
        <v>1494</v>
      </c>
      <c r="C361" s="83" t="s">
        <v>1907</v>
      </c>
      <c r="D361" s="28"/>
      <c r="E361" s="83" t="s">
        <v>1495</v>
      </c>
      <c r="F361" s="83" t="s">
        <v>601</v>
      </c>
      <c r="G361" s="139" t="s">
        <v>188</v>
      </c>
      <c r="H361" s="160"/>
      <c r="I361" s="180"/>
      <c r="J361" s="180"/>
      <c r="K361" s="107"/>
      <c r="L361" s="107"/>
      <c r="M361" s="140"/>
      <c r="N361" s="107"/>
      <c r="O361" s="107"/>
      <c r="P361" s="107"/>
      <c r="Q361" s="107"/>
      <c r="R361" s="107"/>
      <c r="S361" s="107"/>
      <c r="T361" s="107"/>
      <c r="U361" s="107"/>
      <c r="V361" s="107"/>
      <c r="W361" s="107"/>
      <c r="X361" s="107"/>
      <c r="Y361" s="107"/>
      <c r="Z361" s="107"/>
      <c r="AA361" s="108"/>
      <c r="AB361" s="104"/>
      <c r="AC361" s="104"/>
      <c r="AD361" s="104"/>
    </row>
    <row r="362" spans="1:30" ht="51">
      <c r="A362" s="147"/>
      <c r="B362" s="83" t="s">
        <v>1496</v>
      </c>
      <c r="C362" s="83" t="s">
        <v>1907</v>
      </c>
      <c r="D362" s="28"/>
      <c r="E362" s="83" t="s">
        <v>1497</v>
      </c>
      <c r="F362" s="83" t="s">
        <v>602</v>
      </c>
      <c r="G362" s="139" t="s">
        <v>188</v>
      </c>
      <c r="H362" s="28"/>
      <c r="I362" s="160"/>
      <c r="J362" s="160"/>
      <c r="K362" s="107"/>
      <c r="L362" s="107"/>
      <c r="M362" s="140"/>
      <c r="N362" s="107"/>
      <c r="O362" s="107"/>
      <c r="P362" s="107"/>
      <c r="Q362" s="107"/>
      <c r="R362" s="107"/>
      <c r="S362" s="107"/>
      <c r="T362" s="107"/>
      <c r="U362" s="107"/>
      <c r="V362" s="107"/>
      <c r="W362" s="107"/>
      <c r="X362" s="107"/>
      <c r="Y362" s="107"/>
      <c r="Z362" s="107"/>
      <c r="AA362" s="108"/>
      <c r="AB362" s="104"/>
      <c r="AC362" s="104"/>
      <c r="AD362" s="104"/>
    </row>
    <row r="363" spans="1:30" ht="63.75">
      <c r="A363" s="147"/>
      <c r="B363" s="83" t="s">
        <v>1916</v>
      </c>
      <c r="C363" s="83" t="s">
        <v>1917</v>
      </c>
      <c r="D363" s="28"/>
      <c r="E363" s="83" t="s">
        <v>1497</v>
      </c>
      <c r="F363" s="83" t="s">
        <v>1918</v>
      </c>
      <c r="G363" s="139" t="s">
        <v>188</v>
      </c>
      <c r="H363" s="179"/>
      <c r="I363" s="160"/>
      <c r="J363" s="160"/>
      <c r="K363" s="107"/>
      <c r="L363" s="107"/>
      <c r="M363" s="140"/>
      <c r="N363" s="107"/>
      <c r="O363" s="107"/>
      <c r="P363" s="107"/>
      <c r="Q363" s="107"/>
      <c r="R363" s="107"/>
      <c r="S363" s="107"/>
      <c r="T363" s="107"/>
      <c r="U363" s="107"/>
      <c r="V363" s="107"/>
      <c r="W363" s="107"/>
      <c r="X363" s="107"/>
      <c r="Y363" s="107"/>
      <c r="Z363" s="107"/>
      <c r="AA363" s="108"/>
      <c r="AB363" s="104"/>
      <c r="AC363" s="104"/>
      <c r="AD363" s="104"/>
    </row>
    <row r="364" spans="1:30" ht="127.5">
      <c r="A364" s="147"/>
      <c r="B364" s="83" t="s">
        <v>1919</v>
      </c>
      <c r="C364" s="128"/>
      <c r="D364" s="28"/>
      <c r="E364" s="128"/>
      <c r="F364" s="128"/>
      <c r="G364" s="139" t="s">
        <v>188</v>
      </c>
      <c r="H364" s="28"/>
      <c r="I364" s="160"/>
      <c r="J364" s="160"/>
      <c r="K364" s="107"/>
      <c r="L364" s="107"/>
      <c r="M364" s="140"/>
      <c r="N364" s="107"/>
      <c r="O364" s="107"/>
      <c r="P364" s="107"/>
      <c r="Q364" s="107"/>
      <c r="R364" s="107"/>
      <c r="S364" s="107"/>
      <c r="T364" s="107"/>
      <c r="U364" s="107"/>
      <c r="V364" s="107"/>
      <c r="W364" s="107"/>
      <c r="X364" s="107"/>
      <c r="Y364" s="107"/>
      <c r="Z364" s="107"/>
      <c r="AA364" s="108"/>
      <c r="AB364" s="104"/>
      <c r="AC364" s="104"/>
      <c r="AD364" s="104"/>
    </row>
    <row r="365" spans="1:30" ht="165.75">
      <c r="A365" s="147"/>
      <c r="B365" s="83" t="s">
        <v>1498</v>
      </c>
      <c r="C365" s="83" t="s">
        <v>1917</v>
      </c>
      <c r="D365" s="28"/>
      <c r="E365" s="83" t="s">
        <v>1920</v>
      </c>
      <c r="F365" s="83" t="s">
        <v>1921</v>
      </c>
      <c r="G365" s="139" t="s">
        <v>188</v>
      </c>
      <c r="H365" s="183"/>
      <c r="I365" s="160"/>
      <c r="J365" s="160"/>
      <c r="K365" s="107"/>
      <c r="L365" s="107"/>
      <c r="M365" s="105"/>
      <c r="N365" s="107"/>
      <c r="O365" s="107"/>
      <c r="P365" s="107"/>
      <c r="Q365" s="107"/>
      <c r="R365" s="107"/>
      <c r="S365" s="107"/>
      <c r="T365" s="107"/>
      <c r="U365" s="107"/>
      <c r="V365" s="107"/>
      <c r="W365" s="107"/>
      <c r="X365" s="107"/>
      <c r="Y365" s="107"/>
      <c r="Z365" s="107"/>
      <c r="AA365" s="108"/>
      <c r="AB365" s="104"/>
      <c r="AC365" s="104"/>
      <c r="AD365" s="104"/>
    </row>
    <row r="366" spans="1:30" ht="216.75">
      <c r="A366" s="147"/>
      <c r="B366" s="83" t="s">
        <v>1922</v>
      </c>
      <c r="C366" s="83" t="s">
        <v>1917</v>
      </c>
      <c r="D366" s="28"/>
      <c r="E366" s="83" t="s">
        <v>1923</v>
      </c>
      <c r="F366" s="83" t="s">
        <v>1921</v>
      </c>
      <c r="G366" s="139" t="s">
        <v>188</v>
      </c>
      <c r="H366" s="28"/>
      <c r="I366" s="160"/>
      <c r="J366" s="160"/>
      <c r="K366" s="107"/>
      <c r="L366" s="107"/>
      <c r="M366" s="140"/>
      <c r="N366" s="107"/>
      <c r="O366" s="107"/>
      <c r="P366" s="107"/>
      <c r="Q366" s="107"/>
      <c r="R366" s="107"/>
      <c r="S366" s="107"/>
      <c r="T366" s="107"/>
      <c r="U366" s="107"/>
      <c r="V366" s="107"/>
      <c r="W366" s="107"/>
      <c r="X366" s="107"/>
      <c r="Y366" s="107"/>
      <c r="Z366" s="107"/>
      <c r="AA366" s="108"/>
      <c r="AB366" s="104"/>
      <c r="AC366" s="104"/>
      <c r="AD366" s="104"/>
    </row>
    <row r="367" spans="1:30" ht="140.25">
      <c r="A367" s="147"/>
      <c r="B367" s="83" t="s">
        <v>1924</v>
      </c>
      <c r="C367" s="83" t="s">
        <v>1917</v>
      </c>
      <c r="D367" s="28"/>
      <c r="E367" s="83" t="s">
        <v>1925</v>
      </c>
      <c r="F367" s="83" t="s">
        <v>1499</v>
      </c>
      <c r="G367" s="139" t="s">
        <v>188</v>
      </c>
      <c r="H367" s="179"/>
      <c r="I367" s="180"/>
      <c r="J367" s="180"/>
      <c r="K367" s="107"/>
      <c r="L367" s="107"/>
      <c r="M367" s="140"/>
      <c r="N367" s="107"/>
      <c r="O367" s="107"/>
      <c r="P367" s="107"/>
      <c r="Q367" s="107"/>
      <c r="R367" s="107"/>
      <c r="S367" s="107"/>
      <c r="T367" s="107"/>
      <c r="U367" s="107"/>
      <c r="V367" s="107"/>
      <c r="W367" s="107"/>
      <c r="X367" s="107"/>
      <c r="Y367" s="107"/>
      <c r="Z367" s="107"/>
      <c r="AA367" s="108"/>
      <c r="AB367" s="104"/>
      <c r="AC367" s="104"/>
      <c r="AD367" s="104"/>
    </row>
    <row r="368" spans="1:30" ht="76.5">
      <c r="A368" s="147"/>
      <c r="B368" s="83" t="s">
        <v>603</v>
      </c>
      <c r="C368" s="83" t="s">
        <v>1917</v>
      </c>
      <c r="D368" s="28"/>
      <c r="E368" s="83" t="s">
        <v>1500</v>
      </c>
      <c r="F368" s="83" t="s">
        <v>1926</v>
      </c>
      <c r="G368" s="139" t="s">
        <v>188</v>
      </c>
      <c r="H368" s="160"/>
      <c r="I368" s="180"/>
      <c r="J368" s="180"/>
      <c r="K368" s="107"/>
      <c r="L368" s="107"/>
      <c r="M368" s="140"/>
      <c r="N368" s="107"/>
      <c r="O368" s="107"/>
      <c r="P368" s="107"/>
      <c r="Q368" s="107"/>
      <c r="R368" s="107"/>
      <c r="S368" s="107"/>
      <c r="T368" s="107"/>
      <c r="U368" s="107"/>
      <c r="V368" s="107"/>
      <c r="W368" s="107"/>
      <c r="X368" s="107"/>
      <c r="Y368" s="107"/>
      <c r="Z368" s="107"/>
      <c r="AA368" s="108"/>
      <c r="AB368" s="104"/>
      <c r="AC368" s="104"/>
      <c r="AD368" s="104"/>
    </row>
    <row r="369" spans="1:30" ht="76.5">
      <c r="A369" s="147"/>
      <c r="B369" s="83" t="s">
        <v>604</v>
      </c>
      <c r="C369" s="83" t="s">
        <v>1917</v>
      </c>
      <c r="D369" s="28"/>
      <c r="E369" s="83" t="s">
        <v>1501</v>
      </c>
      <c r="F369" s="83" t="s">
        <v>1927</v>
      </c>
      <c r="G369" s="139" t="s">
        <v>188</v>
      </c>
      <c r="H369" s="179"/>
      <c r="I369" s="184"/>
      <c r="J369" s="184"/>
      <c r="K369" s="107"/>
      <c r="L369" s="107"/>
      <c r="M369" s="140"/>
      <c r="N369" s="107"/>
      <c r="O369" s="107"/>
      <c r="P369" s="107"/>
      <c r="Q369" s="107"/>
      <c r="R369" s="107"/>
      <c r="S369" s="107"/>
      <c r="T369" s="107"/>
      <c r="U369" s="107"/>
      <c r="V369" s="107"/>
      <c r="W369" s="107"/>
      <c r="X369" s="107"/>
      <c r="Y369" s="107"/>
      <c r="Z369" s="107"/>
      <c r="AA369" s="108"/>
      <c r="AB369" s="104"/>
      <c r="AC369" s="104"/>
      <c r="AD369" s="104"/>
    </row>
    <row r="370" spans="1:30" ht="89.25">
      <c r="A370" s="147"/>
      <c r="B370" s="83" t="s">
        <v>1928</v>
      </c>
      <c r="C370" s="83" t="s">
        <v>1917</v>
      </c>
      <c r="D370" s="28"/>
      <c r="E370" s="83" t="s">
        <v>1502</v>
      </c>
      <c r="F370" s="83" t="s">
        <v>1503</v>
      </c>
      <c r="G370" s="139" t="s">
        <v>188</v>
      </c>
      <c r="H370" s="179"/>
      <c r="I370" s="184"/>
      <c r="J370" s="184"/>
      <c r="K370" s="107"/>
      <c r="L370" s="107"/>
      <c r="M370" s="140"/>
      <c r="N370" s="107"/>
      <c r="O370" s="107"/>
      <c r="P370" s="107"/>
      <c r="Q370" s="107"/>
      <c r="R370" s="107"/>
      <c r="S370" s="107"/>
      <c r="T370" s="107"/>
      <c r="U370" s="107"/>
      <c r="V370" s="107"/>
      <c r="W370" s="107"/>
      <c r="X370" s="107"/>
      <c r="Y370" s="107"/>
      <c r="Z370" s="107"/>
      <c r="AA370" s="108"/>
      <c r="AB370" s="104"/>
      <c r="AC370" s="104"/>
      <c r="AD370" s="104"/>
    </row>
    <row r="371" spans="1:30" ht="63.75">
      <c r="A371" s="147"/>
      <c r="B371" s="83" t="s">
        <v>1929</v>
      </c>
      <c r="C371" s="83" t="s">
        <v>1917</v>
      </c>
      <c r="D371" s="28"/>
      <c r="E371" s="83" t="s">
        <v>1504</v>
      </c>
      <c r="F371" s="83" t="s">
        <v>1505</v>
      </c>
      <c r="G371" s="139" t="s">
        <v>188</v>
      </c>
      <c r="H371" s="179"/>
      <c r="I371" s="184"/>
      <c r="J371" s="184"/>
      <c r="K371" s="107"/>
      <c r="L371" s="107"/>
      <c r="M371" s="140"/>
      <c r="N371" s="107"/>
      <c r="O371" s="107"/>
      <c r="P371" s="107"/>
      <c r="Q371" s="107"/>
      <c r="R371" s="107"/>
      <c r="S371" s="107"/>
      <c r="T371" s="107"/>
      <c r="U371" s="107"/>
      <c r="V371" s="107"/>
      <c r="W371" s="107"/>
      <c r="X371" s="107"/>
      <c r="Y371" s="107"/>
      <c r="Z371" s="107"/>
      <c r="AA371" s="108"/>
      <c r="AB371" s="104"/>
      <c r="AC371" s="104"/>
      <c r="AD371" s="104"/>
    </row>
    <row r="372" spans="1:30" ht="76.5">
      <c r="A372" s="147"/>
      <c r="B372" s="83" t="s">
        <v>1930</v>
      </c>
      <c r="C372" s="83" t="s">
        <v>1917</v>
      </c>
      <c r="D372" s="28"/>
      <c r="E372" s="83" t="s">
        <v>1506</v>
      </c>
      <c r="F372" s="83" t="s">
        <v>1931</v>
      </c>
      <c r="G372" s="139" t="s">
        <v>188</v>
      </c>
      <c r="H372" s="179"/>
      <c r="I372" s="184"/>
      <c r="J372" s="184"/>
      <c r="K372" s="107"/>
      <c r="L372" s="107"/>
      <c r="M372" s="140"/>
      <c r="N372" s="107"/>
      <c r="O372" s="107"/>
      <c r="P372" s="107"/>
      <c r="Q372" s="107"/>
      <c r="R372" s="107"/>
      <c r="S372" s="107"/>
      <c r="T372" s="107"/>
      <c r="U372" s="107"/>
      <c r="V372" s="107"/>
      <c r="W372" s="107"/>
      <c r="X372" s="107"/>
      <c r="Y372" s="107"/>
      <c r="Z372" s="107"/>
      <c r="AA372" s="108"/>
      <c r="AB372" s="104"/>
      <c r="AC372" s="104"/>
      <c r="AD372" s="104"/>
    </row>
    <row r="373" spans="1:30" ht="63.75">
      <c r="A373" s="147"/>
      <c r="B373" s="83" t="s">
        <v>1932</v>
      </c>
      <c r="C373" s="83" t="s">
        <v>1917</v>
      </c>
      <c r="D373" s="28"/>
      <c r="E373" s="83" t="s">
        <v>1507</v>
      </c>
      <c r="F373" s="83" t="s">
        <v>1508</v>
      </c>
      <c r="G373" s="139" t="s">
        <v>188</v>
      </c>
      <c r="H373" s="179"/>
      <c r="I373" s="185"/>
      <c r="J373" s="185"/>
      <c r="K373" s="107"/>
      <c r="L373" s="107"/>
      <c r="M373" s="140"/>
      <c r="N373" s="107"/>
      <c r="O373" s="107"/>
      <c r="P373" s="107"/>
      <c r="Q373" s="107"/>
      <c r="R373" s="107"/>
      <c r="S373" s="107"/>
      <c r="T373" s="107"/>
      <c r="U373" s="107"/>
      <c r="V373" s="107"/>
      <c r="W373" s="107"/>
      <c r="X373" s="107"/>
      <c r="Y373" s="107"/>
      <c r="Z373" s="107"/>
      <c r="AA373" s="108"/>
      <c r="AB373" s="104"/>
      <c r="AC373" s="104"/>
      <c r="AD373" s="104"/>
    </row>
    <row r="374" spans="1:30" ht="63.75">
      <c r="A374" s="147"/>
      <c r="B374" s="83" t="s">
        <v>605</v>
      </c>
      <c r="C374" s="83" t="s">
        <v>1917</v>
      </c>
      <c r="D374" s="28"/>
      <c r="E374" s="83" t="s">
        <v>1509</v>
      </c>
      <c r="F374" s="83" t="s">
        <v>1510</v>
      </c>
      <c r="G374" s="139" t="s">
        <v>188</v>
      </c>
      <c r="H374" s="160"/>
      <c r="I374" s="181"/>
      <c r="J374" s="181"/>
      <c r="K374" s="107"/>
      <c r="L374" s="107"/>
      <c r="M374" s="140"/>
      <c r="N374" s="107"/>
      <c r="O374" s="107"/>
      <c r="P374" s="107"/>
      <c r="Q374" s="107"/>
      <c r="R374" s="107"/>
      <c r="S374" s="107"/>
      <c r="T374" s="107"/>
      <c r="U374" s="107"/>
      <c r="V374" s="107"/>
      <c r="W374" s="107"/>
      <c r="X374" s="107"/>
      <c r="Y374" s="107"/>
      <c r="Z374" s="107"/>
      <c r="AA374" s="108"/>
      <c r="AB374" s="104"/>
      <c r="AC374" s="104"/>
      <c r="AD374" s="104"/>
    </row>
    <row r="375" spans="1:30" ht="255">
      <c r="A375" s="147"/>
      <c r="B375" s="83" t="s">
        <v>1933</v>
      </c>
      <c r="C375" s="83" t="s">
        <v>1917</v>
      </c>
      <c r="D375" s="28"/>
      <c r="E375" s="83" t="s">
        <v>1934</v>
      </c>
      <c r="F375" s="83" t="s">
        <v>1935</v>
      </c>
      <c r="G375" s="139" t="s">
        <v>188</v>
      </c>
      <c r="H375" s="160"/>
      <c r="I375" s="181"/>
      <c r="J375" s="181"/>
      <c r="K375" s="107"/>
      <c r="L375" s="107"/>
      <c r="M375" s="140"/>
      <c r="N375" s="107"/>
      <c r="O375" s="107"/>
      <c r="P375" s="107"/>
      <c r="Q375" s="107"/>
      <c r="R375" s="107"/>
      <c r="S375" s="107"/>
      <c r="T375" s="107"/>
      <c r="U375" s="107"/>
      <c r="V375" s="107"/>
      <c r="W375" s="107"/>
      <c r="X375" s="107"/>
      <c r="Y375" s="107"/>
      <c r="Z375" s="107"/>
      <c r="AA375" s="108"/>
      <c r="AB375" s="104"/>
      <c r="AC375" s="104"/>
      <c r="AD375" s="104"/>
    </row>
    <row r="376" spans="1:30" ht="63.75">
      <c r="A376" s="147"/>
      <c r="B376" s="83" t="s">
        <v>606</v>
      </c>
      <c r="C376" s="83" t="s">
        <v>1917</v>
      </c>
      <c r="D376" s="28"/>
      <c r="E376" s="83" t="s">
        <v>1511</v>
      </c>
      <c r="F376" s="83" t="s">
        <v>1512</v>
      </c>
      <c r="G376" s="139" t="s">
        <v>188</v>
      </c>
      <c r="H376" s="179"/>
      <c r="I376" s="181"/>
      <c r="J376" s="181"/>
      <c r="K376" s="107"/>
      <c r="L376" s="107"/>
      <c r="M376" s="140"/>
      <c r="N376" s="107"/>
      <c r="O376" s="107"/>
      <c r="P376" s="107"/>
      <c r="Q376" s="107"/>
      <c r="R376" s="107"/>
      <c r="S376" s="107"/>
      <c r="T376" s="107"/>
      <c r="U376" s="107"/>
      <c r="V376" s="107"/>
      <c r="W376" s="107"/>
      <c r="X376" s="107"/>
      <c r="Y376" s="107"/>
      <c r="Z376" s="107"/>
      <c r="AA376" s="108"/>
      <c r="AB376" s="104"/>
      <c r="AC376" s="104"/>
      <c r="AD376" s="104"/>
    </row>
    <row r="377" spans="1:30" ht="63.75">
      <c r="A377" s="147"/>
      <c r="B377" s="83" t="s">
        <v>1936</v>
      </c>
      <c r="C377" s="83" t="s">
        <v>1917</v>
      </c>
      <c r="D377" s="28"/>
      <c r="E377" s="83" t="s">
        <v>1513</v>
      </c>
      <c r="F377" s="83" t="s">
        <v>1937</v>
      </c>
      <c r="G377" s="139" t="s">
        <v>188</v>
      </c>
      <c r="H377" s="179"/>
      <c r="I377" s="185"/>
      <c r="J377" s="185"/>
      <c r="K377" s="107"/>
      <c r="L377" s="107"/>
      <c r="M377" s="140"/>
      <c r="N377" s="107"/>
      <c r="O377" s="107"/>
      <c r="P377" s="107"/>
      <c r="Q377" s="107"/>
      <c r="R377" s="107"/>
      <c r="S377" s="107"/>
      <c r="T377" s="107"/>
      <c r="U377" s="107"/>
      <c r="V377" s="107"/>
      <c r="W377" s="107"/>
      <c r="X377" s="107"/>
      <c r="Y377" s="107"/>
      <c r="Z377" s="107"/>
      <c r="AA377" s="108"/>
      <c r="AB377" s="104"/>
      <c r="AC377" s="104"/>
      <c r="AD377" s="104"/>
    </row>
    <row r="378" spans="1:30" ht="63.75">
      <c r="A378" s="147"/>
      <c r="B378" s="160" t="s">
        <v>1938</v>
      </c>
      <c r="C378" s="83" t="s">
        <v>1917</v>
      </c>
      <c r="D378" s="28"/>
      <c r="E378" s="160" t="s">
        <v>607</v>
      </c>
      <c r="F378" s="160" t="s">
        <v>1514</v>
      </c>
      <c r="G378" s="139" t="s">
        <v>188</v>
      </c>
      <c r="H378" s="179"/>
      <c r="I378" s="181"/>
      <c r="J378" s="181"/>
      <c r="K378" s="107"/>
      <c r="L378" s="107"/>
      <c r="M378" s="140"/>
      <c r="N378" s="107"/>
      <c r="O378" s="107"/>
      <c r="P378" s="107"/>
      <c r="Q378" s="107"/>
      <c r="R378" s="107"/>
      <c r="S378" s="107"/>
      <c r="T378" s="107"/>
      <c r="U378" s="107"/>
      <c r="V378" s="107"/>
      <c r="W378" s="107"/>
      <c r="X378" s="107"/>
      <c r="Y378" s="107"/>
      <c r="Z378" s="107"/>
      <c r="AA378" s="108"/>
      <c r="AB378" s="104"/>
      <c r="AC378" s="104"/>
      <c r="AD378" s="104"/>
    </row>
    <row r="379" spans="1:30" ht="114.75">
      <c r="A379" s="147"/>
      <c r="B379" s="83" t="s">
        <v>1939</v>
      </c>
      <c r="C379" s="83" t="s">
        <v>1940</v>
      </c>
      <c r="D379" s="28"/>
      <c r="E379" s="83" t="s">
        <v>1515</v>
      </c>
      <c r="F379" s="83" t="s">
        <v>1941</v>
      </c>
      <c r="G379" s="139" t="s">
        <v>188</v>
      </c>
      <c r="H379" s="160"/>
      <c r="I379" s="181"/>
      <c r="J379" s="181"/>
      <c r="K379" s="107"/>
      <c r="L379" s="107"/>
      <c r="M379" s="186"/>
      <c r="N379" s="107"/>
      <c r="O379" s="107"/>
      <c r="P379" s="107"/>
      <c r="Q379" s="107"/>
      <c r="R379" s="107"/>
      <c r="S379" s="107"/>
      <c r="T379" s="107"/>
      <c r="U379" s="107"/>
      <c r="V379" s="107"/>
      <c r="W379" s="107"/>
      <c r="X379" s="107"/>
      <c r="Y379" s="107"/>
      <c r="Z379" s="107"/>
      <c r="AA379" s="108"/>
      <c r="AB379" s="104"/>
      <c r="AC379" s="104"/>
      <c r="AD379" s="104"/>
    </row>
    <row r="380" spans="1:30">
      <c r="A380" s="259" t="s">
        <v>1942</v>
      </c>
      <c r="B380" s="237"/>
      <c r="C380" s="237"/>
      <c r="D380" s="237"/>
      <c r="E380" s="237"/>
      <c r="F380" s="237"/>
      <c r="G380" s="237"/>
      <c r="H380" s="237"/>
      <c r="I380" s="237"/>
      <c r="J380" s="238"/>
      <c r="K380" s="107"/>
      <c r="L380" s="107"/>
      <c r="M380" s="140"/>
      <c r="N380" s="107"/>
      <c r="O380" s="107"/>
      <c r="P380" s="107"/>
      <c r="Q380" s="107"/>
      <c r="R380" s="107"/>
      <c r="S380" s="107"/>
      <c r="T380" s="107"/>
      <c r="U380" s="107"/>
      <c r="V380" s="107"/>
      <c r="W380" s="107"/>
      <c r="X380" s="107"/>
      <c r="Y380" s="107"/>
      <c r="Z380" s="107"/>
      <c r="AA380" s="108"/>
      <c r="AB380" s="104"/>
      <c r="AC380" s="104"/>
      <c r="AD380" s="104"/>
    </row>
    <row r="381" spans="1:30" ht="63.75">
      <c r="A381" s="147"/>
      <c r="B381" s="83" t="s">
        <v>1943</v>
      </c>
      <c r="C381" s="83" t="s">
        <v>1516</v>
      </c>
      <c r="D381" s="28"/>
      <c r="E381" s="187">
        <v>6666670000000</v>
      </c>
      <c r="F381" s="83" t="s">
        <v>1517</v>
      </c>
      <c r="G381" s="139" t="s">
        <v>188</v>
      </c>
      <c r="H381" s="180"/>
      <c r="I381" s="175"/>
      <c r="J381" s="175"/>
      <c r="K381" s="107"/>
      <c r="L381" s="107"/>
      <c r="M381" s="107"/>
      <c r="N381" s="107"/>
      <c r="O381" s="107"/>
      <c r="P381" s="107"/>
      <c r="Q381" s="107"/>
      <c r="R381" s="107"/>
      <c r="S381" s="107"/>
      <c r="T381" s="107"/>
      <c r="U381" s="107"/>
      <c r="V381" s="107"/>
      <c r="W381" s="107"/>
      <c r="X381" s="107"/>
      <c r="Y381" s="107"/>
      <c r="Z381" s="107"/>
      <c r="AA381" s="108"/>
      <c r="AB381" s="104"/>
      <c r="AC381" s="104"/>
      <c r="AD381" s="104"/>
    </row>
    <row r="382" spans="1:30" ht="89.25">
      <c r="A382" s="147"/>
      <c r="B382" s="83" t="s">
        <v>613</v>
      </c>
      <c r="C382" s="83" t="s">
        <v>1944</v>
      </c>
      <c r="D382" s="28"/>
      <c r="E382" s="83" t="s">
        <v>1945</v>
      </c>
      <c r="F382" s="83" t="s">
        <v>1946</v>
      </c>
      <c r="G382" s="139" t="s">
        <v>188</v>
      </c>
      <c r="H382" s="180"/>
      <c r="I382" s="175"/>
      <c r="J382" s="175"/>
      <c r="K382" s="107"/>
      <c r="L382" s="107"/>
      <c r="M382" s="140"/>
      <c r="N382" s="107"/>
      <c r="O382" s="107"/>
      <c r="P382" s="107"/>
      <c r="Q382" s="107"/>
      <c r="R382" s="107"/>
      <c r="S382" s="107"/>
      <c r="T382" s="107"/>
      <c r="U382" s="107"/>
      <c r="V382" s="107"/>
      <c r="W382" s="107"/>
      <c r="X382" s="107"/>
      <c r="Y382" s="107"/>
      <c r="Z382" s="107"/>
      <c r="AA382" s="108"/>
      <c r="AB382" s="104"/>
      <c r="AC382" s="104"/>
      <c r="AD382" s="104"/>
    </row>
    <row r="383" spans="1:30" ht="140.25">
      <c r="A383" s="147"/>
      <c r="B383" s="83" t="s">
        <v>1518</v>
      </c>
      <c r="C383" s="83" t="s">
        <v>1519</v>
      </c>
      <c r="D383" s="28"/>
      <c r="E383" s="83" t="s">
        <v>1947</v>
      </c>
      <c r="F383" s="83" t="s">
        <v>1520</v>
      </c>
      <c r="G383" s="139" t="s">
        <v>188</v>
      </c>
      <c r="H383" s="180"/>
      <c r="I383" s="175"/>
      <c r="J383" s="175"/>
      <c r="K383" s="107"/>
      <c r="L383" s="107"/>
      <c r="M383" s="140"/>
      <c r="N383" s="107"/>
      <c r="O383" s="107"/>
      <c r="P383" s="107"/>
      <c r="Q383" s="107"/>
      <c r="R383" s="107"/>
      <c r="S383" s="107"/>
      <c r="T383" s="107"/>
      <c r="U383" s="107"/>
      <c r="V383" s="107"/>
      <c r="W383" s="107"/>
      <c r="X383" s="107"/>
      <c r="Y383" s="107"/>
      <c r="Z383" s="107"/>
      <c r="AA383" s="108"/>
      <c r="AB383" s="104"/>
      <c r="AC383" s="104"/>
      <c r="AD383" s="104"/>
    </row>
    <row r="384" spans="1:30" ht="89.25">
      <c r="A384" s="147"/>
      <c r="B384" s="83" t="s">
        <v>1948</v>
      </c>
      <c r="C384" s="83" t="s">
        <v>1521</v>
      </c>
      <c r="D384" s="28"/>
      <c r="E384" s="83" t="s">
        <v>1522</v>
      </c>
      <c r="F384" s="83" t="s">
        <v>1949</v>
      </c>
      <c r="G384" s="139" t="s">
        <v>188</v>
      </c>
      <c r="H384" s="180"/>
      <c r="I384" s="175"/>
      <c r="J384" s="175"/>
      <c r="K384" s="107"/>
      <c r="L384" s="107"/>
      <c r="M384" s="140"/>
      <c r="N384" s="107"/>
      <c r="O384" s="107"/>
      <c r="P384" s="107"/>
      <c r="Q384" s="107"/>
      <c r="R384" s="107"/>
      <c r="S384" s="107"/>
      <c r="T384" s="107"/>
      <c r="U384" s="107"/>
      <c r="V384" s="107"/>
      <c r="W384" s="107"/>
      <c r="X384" s="107"/>
      <c r="Y384" s="107"/>
      <c r="Z384" s="107"/>
      <c r="AA384" s="108"/>
      <c r="AB384" s="104"/>
      <c r="AC384" s="104"/>
      <c r="AD384" s="104"/>
    </row>
    <row r="385" spans="1:30" ht="89.25">
      <c r="A385" s="147"/>
      <c r="B385" s="83" t="s">
        <v>1950</v>
      </c>
      <c r="C385" s="83" t="s">
        <v>1521</v>
      </c>
      <c r="D385" s="28"/>
      <c r="E385" s="83" t="s">
        <v>1951</v>
      </c>
      <c r="F385" s="83" t="s">
        <v>1952</v>
      </c>
      <c r="G385" s="139" t="s">
        <v>188</v>
      </c>
      <c r="H385" s="180"/>
      <c r="I385" s="175"/>
      <c r="J385" s="175"/>
      <c r="K385" s="107"/>
      <c r="L385" s="107"/>
      <c r="M385" s="140"/>
      <c r="N385" s="107"/>
      <c r="O385" s="107"/>
      <c r="P385" s="107"/>
      <c r="Q385" s="107"/>
      <c r="R385" s="107"/>
      <c r="S385" s="107"/>
      <c r="T385" s="107"/>
      <c r="U385" s="107"/>
      <c r="V385" s="107"/>
      <c r="W385" s="107"/>
      <c r="X385" s="107"/>
      <c r="Y385" s="107"/>
      <c r="Z385" s="107"/>
      <c r="AA385" s="108"/>
      <c r="AB385" s="104"/>
      <c r="AC385" s="104"/>
      <c r="AD385" s="104"/>
    </row>
    <row r="386" spans="1:30" ht="89.25">
      <c r="A386" s="147"/>
      <c r="B386" s="83" t="s">
        <v>1953</v>
      </c>
      <c r="C386" s="83" t="s">
        <v>1521</v>
      </c>
      <c r="D386" s="28"/>
      <c r="E386" s="83" t="s">
        <v>1523</v>
      </c>
      <c r="F386" s="83" t="s">
        <v>1954</v>
      </c>
      <c r="G386" s="139" t="s">
        <v>188</v>
      </c>
      <c r="H386" s="180"/>
      <c r="I386" s="175"/>
      <c r="J386" s="175"/>
      <c r="K386" s="107"/>
      <c r="L386" s="107"/>
      <c r="M386" s="140"/>
      <c r="N386" s="107"/>
      <c r="O386" s="107"/>
      <c r="P386" s="107"/>
      <c r="Q386" s="107"/>
      <c r="R386" s="107"/>
      <c r="S386" s="107"/>
      <c r="T386" s="107"/>
      <c r="U386" s="107"/>
      <c r="V386" s="107"/>
      <c r="W386" s="107"/>
      <c r="X386" s="107"/>
      <c r="Y386" s="107"/>
      <c r="Z386" s="107"/>
      <c r="AA386" s="108"/>
      <c r="AB386" s="104"/>
      <c r="AC386" s="104"/>
      <c r="AD386" s="104"/>
    </row>
    <row r="387" spans="1:30" ht="89.25">
      <c r="A387" s="147"/>
      <c r="B387" s="83" t="s">
        <v>1955</v>
      </c>
      <c r="C387" s="83" t="s">
        <v>1521</v>
      </c>
      <c r="D387" s="28"/>
      <c r="E387" s="83" t="s">
        <v>1524</v>
      </c>
      <c r="F387" s="83" t="s">
        <v>633</v>
      </c>
      <c r="G387" s="139" t="s">
        <v>188</v>
      </c>
      <c r="H387" s="180"/>
      <c r="I387" s="175"/>
      <c r="J387" s="175"/>
      <c r="K387" s="107"/>
      <c r="L387" s="107"/>
      <c r="M387" s="140"/>
      <c r="N387" s="107"/>
      <c r="O387" s="107"/>
      <c r="P387" s="107"/>
      <c r="Q387" s="107"/>
      <c r="R387" s="107"/>
      <c r="S387" s="107"/>
      <c r="T387" s="107"/>
      <c r="U387" s="107"/>
      <c r="V387" s="107"/>
      <c r="W387" s="107"/>
      <c r="X387" s="107"/>
      <c r="Y387" s="107"/>
      <c r="Z387" s="107"/>
      <c r="AA387" s="108"/>
      <c r="AB387" s="104"/>
      <c r="AC387" s="104"/>
      <c r="AD387" s="104"/>
    </row>
    <row r="388" spans="1:30" ht="89.25">
      <c r="A388" s="147"/>
      <c r="B388" s="83" t="s">
        <v>1956</v>
      </c>
      <c r="C388" s="83" t="s">
        <v>1521</v>
      </c>
      <c r="D388" s="28"/>
      <c r="E388" s="83" t="s">
        <v>1525</v>
      </c>
      <c r="F388" s="83" t="s">
        <v>636</v>
      </c>
      <c r="G388" s="139" t="s">
        <v>188</v>
      </c>
      <c r="H388" s="180"/>
      <c r="I388" s="175"/>
      <c r="J388" s="175"/>
      <c r="K388" s="107"/>
      <c r="L388" s="107"/>
      <c r="M388" s="140"/>
      <c r="N388" s="107"/>
      <c r="O388" s="107"/>
      <c r="P388" s="107"/>
      <c r="Q388" s="107"/>
      <c r="R388" s="107"/>
      <c r="S388" s="107"/>
      <c r="T388" s="107"/>
      <c r="U388" s="107"/>
      <c r="V388" s="107"/>
      <c r="W388" s="107"/>
      <c r="X388" s="107"/>
      <c r="Y388" s="107"/>
      <c r="Z388" s="107"/>
      <c r="AA388" s="108"/>
      <c r="AB388" s="104"/>
      <c r="AC388" s="104"/>
      <c r="AD388" s="104"/>
    </row>
    <row r="389" spans="1:30" ht="89.25">
      <c r="A389" s="147"/>
      <c r="B389" s="83" t="s">
        <v>1957</v>
      </c>
      <c r="C389" s="83" t="s">
        <v>1521</v>
      </c>
      <c r="D389" s="28"/>
      <c r="E389" s="83" t="s">
        <v>1958</v>
      </c>
      <c r="F389" s="83" t="s">
        <v>1959</v>
      </c>
      <c r="G389" s="139" t="s">
        <v>188</v>
      </c>
      <c r="H389" s="180"/>
      <c r="I389" s="175"/>
      <c r="J389" s="175"/>
      <c r="K389" s="107"/>
      <c r="L389" s="107"/>
      <c r="M389" s="140"/>
      <c r="N389" s="107"/>
      <c r="O389" s="107"/>
      <c r="P389" s="107"/>
      <c r="Q389" s="107"/>
      <c r="R389" s="107"/>
      <c r="S389" s="107"/>
      <c r="T389" s="107"/>
      <c r="U389" s="107"/>
      <c r="V389" s="107"/>
      <c r="W389" s="107"/>
      <c r="X389" s="107"/>
      <c r="Y389" s="107"/>
      <c r="Z389" s="107"/>
      <c r="AA389" s="108"/>
      <c r="AB389" s="104"/>
      <c r="AC389" s="104"/>
      <c r="AD389" s="104"/>
    </row>
    <row r="390" spans="1:30" ht="89.25">
      <c r="A390" s="147"/>
      <c r="B390" s="83" t="s">
        <v>1960</v>
      </c>
      <c r="C390" s="83" t="s">
        <v>1521</v>
      </c>
      <c r="D390" s="28"/>
      <c r="E390" s="83" t="s">
        <v>1526</v>
      </c>
      <c r="F390" s="83" t="s">
        <v>642</v>
      </c>
      <c r="G390" s="139" t="s">
        <v>188</v>
      </c>
      <c r="H390" s="180"/>
      <c r="I390" s="175"/>
      <c r="J390" s="175"/>
      <c r="K390" s="107"/>
      <c r="L390" s="107"/>
      <c r="M390" s="140"/>
      <c r="N390" s="107"/>
      <c r="O390" s="107"/>
      <c r="P390" s="107"/>
      <c r="Q390" s="107"/>
      <c r="R390" s="107"/>
      <c r="S390" s="107"/>
      <c r="T390" s="107"/>
      <c r="U390" s="107"/>
      <c r="V390" s="107"/>
      <c r="W390" s="107"/>
      <c r="X390" s="107"/>
      <c r="Y390" s="107"/>
      <c r="Z390" s="107"/>
      <c r="AA390" s="108"/>
      <c r="AB390" s="104"/>
      <c r="AC390" s="104"/>
      <c r="AD390" s="104"/>
    </row>
    <row r="391" spans="1:30" ht="89.25">
      <c r="A391" s="147"/>
      <c r="B391" s="83" t="s">
        <v>1961</v>
      </c>
      <c r="C391" s="83" t="s">
        <v>1521</v>
      </c>
      <c r="D391" s="28"/>
      <c r="E391" s="83" t="s">
        <v>1527</v>
      </c>
      <c r="F391" s="83" t="s">
        <v>1962</v>
      </c>
      <c r="G391" s="139" t="s">
        <v>188</v>
      </c>
      <c r="H391" s="180"/>
      <c r="I391" s="175"/>
      <c r="J391" s="175"/>
      <c r="K391" s="107"/>
      <c r="L391" s="107"/>
      <c r="M391" s="140"/>
      <c r="N391" s="107"/>
      <c r="O391" s="107"/>
      <c r="P391" s="107"/>
      <c r="Q391" s="107"/>
      <c r="R391" s="107"/>
      <c r="S391" s="107"/>
      <c r="T391" s="107"/>
      <c r="U391" s="107"/>
      <c r="V391" s="107"/>
      <c r="W391" s="107"/>
      <c r="X391" s="107"/>
      <c r="Y391" s="107"/>
      <c r="Z391" s="107"/>
      <c r="AA391" s="108"/>
      <c r="AB391" s="104"/>
      <c r="AC391" s="104"/>
      <c r="AD391" s="104"/>
    </row>
    <row r="392" spans="1:30" ht="114.75">
      <c r="A392" s="147"/>
      <c r="B392" s="83" t="s">
        <v>1963</v>
      </c>
      <c r="C392" s="83" t="s">
        <v>1521</v>
      </c>
      <c r="D392" s="28"/>
      <c r="E392" s="83" t="s">
        <v>1528</v>
      </c>
      <c r="F392" s="83" t="s">
        <v>1964</v>
      </c>
      <c r="G392" s="139" t="s">
        <v>188</v>
      </c>
      <c r="H392" s="146"/>
      <c r="I392" s="175"/>
      <c r="J392" s="175"/>
      <c r="K392" s="107"/>
      <c r="L392" s="107"/>
      <c r="M392" s="140"/>
      <c r="N392" s="107"/>
      <c r="O392" s="107"/>
      <c r="P392" s="107"/>
      <c r="Q392" s="107"/>
      <c r="R392" s="107"/>
      <c r="S392" s="107"/>
      <c r="T392" s="107"/>
      <c r="U392" s="107"/>
      <c r="V392" s="107"/>
      <c r="W392" s="107"/>
      <c r="X392" s="107"/>
      <c r="Y392" s="107"/>
      <c r="Z392" s="107"/>
      <c r="AA392" s="108"/>
      <c r="AB392" s="104"/>
      <c r="AC392" s="104"/>
      <c r="AD392" s="104"/>
    </row>
    <row r="393" spans="1:30" ht="89.25">
      <c r="A393" s="147"/>
      <c r="B393" s="83" t="s">
        <v>650</v>
      </c>
      <c r="C393" s="83" t="s">
        <v>1521</v>
      </c>
      <c r="D393" s="28"/>
      <c r="E393" s="83" t="s">
        <v>651</v>
      </c>
      <c r="F393" s="83" t="s">
        <v>1965</v>
      </c>
      <c r="G393" s="139" t="s">
        <v>188</v>
      </c>
      <c r="H393" s="180"/>
      <c r="I393" s="175"/>
      <c r="J393" s="175"/>
      <c r="K393" s="107"/>
      <c r="L393" s="107"/>
      <c r="M393" s="140"/>
      <c r="N393" s="107"/>
      <c r="O393" s="107"/>
      <c r="P393" s="107"/>
      <c r="Q393" s="107"/>
      <c r="R393" s="107"/>
      <c r="S393" s="107"/>
      <c r="T393" s="107"/>
      <c r="U393" s="107"/>
      <c r="V393" s="107"/>
      <c r="W393" s="107"/>
      <c r="X393" s="107"/>
      <c r="Y393" s="107"/>
      <c r="Z393" s="107"/>
      <c r="AA393" s="108"/>
      <c r="AB393" s="104"/>
      <c r="AC393" s="104"/>
      <c r="AD393" s="104"/>
    </row>
    <row r="394" spans="1:30" ht="178.5">
      <c r="A394" s="147"/>
      <c r="B394" s="83" t="s">
        <v>654</v>
      </c>
      <c r="C394" s="83" t="s">
        <v>1966</v>
      </c>
      <c r="D394" s="28"/>
      <c r="E394" s="83" t="s">
        <v>1967</v>
      </c>
      <c r="F394" s="83" t="s">
        <v>1529</v>
      </c>
      <c r="G394" s="139" t="s">
        <v>188</v>
      </c>
      <c r="H394" s="180"/>
      <c r="I394" s="175"/>
      <c r="J394" s="175"/>
      <c r="K394" s="107"/>
      <c r="L394" s="107"/>
      <c r="M394" s="140"/>
      <c r="N394" s="107"/>
      <c r="O394" s="107"/>
      <c r="P394" s="107"/>
      <c r="Q394" s="107"/>
      <c r="R394" s="107"/>
      <c r="S394" s="107"/>
      <c r="T394" s="107"/>
      <c r="U394" s="107"/>
      <c r="V394" s="107"/>
      <c r="W394" s="107"/>
      <c r="X394" s="107"/>
      <c r="Y394" s="107"/>
      <c r="Z394" s="107"/>
      <c r="AA394" s="108"/>
      <c r="AB394" s="104"/>
      <c r="AC394" s="104"/>
      <c r="AD394" s="104"/>
    </row>
    <row r="395" spans="1:30" ht="178.5">
      <c r="A395" s="147"/>
      <c r="B395" s="83" t="s">
        <v>1968</v>
      </c>
      <c r="C395" s="83" t="s">
        <v>1969</v>
      </c>
      <c r="D395" s="28"/>
      <c r="E395" s="83" t="s">
        <v>1970</v>
      </c>
      <c r="F395" s="83" t="s">
        <v>1971</v>
      </c>
      <c r="G395" s="139" t="s">
        <v>188</v>
      </c>
      <c r="H395" s="180"/>
      <c r="I395" s="175"/>
      <c r="J395" s="175"/>
      <c r="K395" s="107"/>
      <c r="L395" s="107"/>
      <c r="M395" s="140"/>
      <c r="N395" s="107"/>
      <c r="O395" s="107"/>
      <c r="P395" s="107"/>
      <c r="Q395" s="107"/>
      <c r="R395" s="107"/>
      <c r="S395" s="107"/>
      <c r="T395" s="107"/>
      <c r="U395" s="107"/>
      <c r="V395" s="107"/>
      <c r="W395" s="107"/>
      <c r="X395" s="107"/>
      <c r="Y395" s="107"/>
      <c r="Z395" s="107"/>
      <c r="AA395" s="108"/>
      <c r="AB395" s="104"/>
      <c r="AC395" s="104"/>
      <c r="AD395" s="104"/>
    </row>
    <row r="396" spans="1:30" ht="63.75">
      <c r="A396" s="147"/>
      <c r="B396" s="83" t="s">
        <v>1972</v>
      </c>
      <c r="C396" s="128"/>
      <c r="D396" s="28"/>
      <c r="E396" s="128"/>
      <c r="F396" s="128"/>
      <c r="G396" s="139" t="s">
        <v>188</v>
      </c>
      <c r="H396" s="180"/>
      <c r="I396" s="175"/>
      <c r="J396" s="175"/>
      <c r="K396" s="107"/>
      <c r="L396" s="107"/>
      <c r="M396" s="140"/>
      <c r="N396" s="107"/>
      <c r="O396" s="107"/>
      <c r="P396" s="107"/>
      <c r="Q396" s="107"/>
      <c r="R396" s="107"/>
      <c r="S396" s="107"/>
      <c r="T396" s="107"/>
      <c r="U396" s="107"/>
      <c r="V396" s="107"/>
      <c r="W396" s="107"/>
      <c r="X396" s="107"/>
      <c r="Y396" s="107"/>
      <c r="Z396" s="107"/>
      <c r="AA396" s="108"/>
      <c r="AB396" s="104"/>
      <c r="AC396" s="104"/>
      <c r="AD396" s="104"/>
    </row>
    <row r="397" spans="1:30" ht="76.5">
      <c r="A397" s="147"/>
      <c r="B397" s="83" t="s">
        <v>1973</v>
      </c>
      <c r="C397" s="83" t="s">
        <v>1974</v>
      </c>
      <c r="D397" s="28"/>
      <c r="E397" s="83" t="s">
        <v>1975</v>
      </c>
      <c r="F397" s="83" t="s">
        <v>1976</v>
      </c>
      <c r="G397" s="139" t="s">
        <v>188</v>
      </c>
      <c r="H397" s="180"/>
      <c r="I397" s="175"/>
      <c r="J397" s="175"/>
      <c r="K397" s="107"/>
      <c r="L397" s="107"/>
      <c r="M397" s="105"/>
      <c r="N397" s="107"/>
      <c r="O397" s="107"/>
      <c r="P397" s="107"/>
      <c r="Q397" s="107"/>
      <c r="R397" s="107"/>
      <c r="S397" s="107"/>
      <c r="T397" s="107"/>
      <c r="U397" s="107"/>
      <c r="V397" s="107"/>
      <c r="W397" s="107"/>
      <c r="X397" s="107"/>
      <c r="Y397" s="107"/>
      <c r="Z397" s="107"/>
      <c r="AA397" s="108"/>
      <c r="AB397" s="104"/>
      <c r="AC397" s="104"/>
      <c r="AD397" s="104"/>
    </row>
    <row r="398" spans="1:30" ht="114.75">
      <c r="A398" s="147"/>
      <c r="B398" s="83" t="s">
        <v>1977</v>
      </c>
      <c r="C398" s="83" t="s">
        <v>1978</v>
      </c>
      <c r="D398" s="28"/>
      <c r="E398" s="83" t="s">
        <v>668</v>
      </c>
      <c r="F398" s="83" t="s">
        <v>1530</v>
      </c>
      <c r="G398" s="139" t="s">
        <v>188</v>
      </c>
      <c r="H398" s="180"/>
      <c r="I398" s="175"/>
      <c r="J398" s="175"/>
      <c r="K398" s="107"/>
      <c r="L398" s="107"/>
      <c r="M398" s="140"/>
      <c r="N398" s="107"/>
      <c r="O398" s="107"/>
      <c r="P398" s="107"/>
      <c r="Q398" s="107"/>
      <c r="R398" s="107"/>
      <c r="S398" s="107"/>
      <c r="T398" s="107"/>
      <c r="U398" s="107"/>
      <c r="V398" s="107"/>
      <c r="W398" s="107"/>
      <c r="X398" s="107"/>
      <c r="Y398" s="107"/>
      <c r="Z398" s="107"/>
      <c r="AA398" s="108"/>
      <c r="AB398" s="104"/>
      <c r="AC398" s="104"/>
      <c r="AD398" s="104"/>
    </row>
    <row r="399" spans="1:30" ht="114.75">
      <c r="A399" s="147"/>
      <c r="B399" s="83" t="s">
        <v>1979</v>
      </c>
      <c r="C399" s="83" t="s">
        <v>1978</v>
      </c>
      <c r="D399" s="28"/>
      <c r="E399" s="83" t="s">
        <v>1531</v>
      </c>
      <c r="F399" s="83" t="s">
        <v>1980</v>
      </c>
      <c r="G399" s="139" t="s">
        <v>188</v>
      </c>
      <c r="H399" s="180"/>
      <c r="I399" s="175"/>
      <c r="J399" s="175"/>
      <c r="K399" s="107"/>
      <c r="L399" s="107"/>
      <c r="M399" s="140"/>
      <c r="N399" s="107"/>
      <c r="O399" s="107"/>
      <c r="P399" s="107"/>
      <c r="Q399" s="107"/>
      <c r="R399" s="107"/>
      <c r="S399" s="107"/>
      <c r="T399" s="107"/>
      <c r="U399" s="107"/>
      <c r="V399" s="107"/>
      <c r="W399" s="107"/>
      <c r="X399" s="107"/>
      <c r="Y399" s="107"/>
      <c r="Z399" s="107"/>
      <c r="AA399" s="108"/>
      <c r="AB399" s="104"/>
      <c r="AC399" s="104"/>
      <c r="AD399" s="104"/>
    </row>
    <row r="400" spans="1:30" ht="114.75">
      <c r="A400" s="147"/>
      <c r="B400" s="83" t="s">
        <v>1981</v>
      </c>
      <c r="C400" s="83" t="s">
        <v>1978</v>
      </c>
      <c r="D400" s="28"/>
      <c r="E400" s="83" t="s">
        <v>1532</v>
      </c>
      <c r="F400" s="83" t="s">
        <v>1982</v>
      </c>
      <c r="G400" s="139" t="s">
        <v>188</v>
      </c>
      <c r="H400" s="188"/>
      <c r="I400" s="175"/>
      <c r="J400" s="175"/>
      <c r="K400" s="107"/>
      <c r="L400" s="107"/>
      <c r="M400" s="140"/>
      <c r="N400" s="107"/>
      <c r="O400" s="107"/>
      <c r="P400" s="107"/>
      <c r="Q400" s="107"/>
      <c r="R400" s="107"/>
      <c r="S400" s="107"/>
      <c r="T400" s="107"/>
      <c r="U400" s="107"/>
      <c r="V400" s="107"/>
      <c r="W400" s="107"/>
      <c r="X400" s="107"/>
      <c r="Y400" s="107"/>
      <c r="Z400" s="107"/>
      <c r="AA400" s="108"/>
      <c r="AB400" s="104"/>
      <c r="AC400" s="104"/>
      <c r="AD400" s="104"/>
    </row>
    <row r="401" spans="1:30" ht="114.75">
      <c r="A401" s="147"/>
      <c r="B401" s="83" t="s">
        <v>1983</v>
      </c>
      <c r="C401" s="83" t="s">
        <v>1978</v>
      </c>
      <c r="D401" s="28"/>
      <c r="E401" s="83" t="s">
        <v>677</v>
      </c>
      <c r="F401" s="83" t="s">
        <v>1984</v>
      </c>
      <c r="G401" s="139" t="s">
        <v>188</v>
      </c>
      <c r="H401" s="180"/>
      <c r="I401" s="175"/>
      <c r="J401" s="175"/>
      <c r="K401" s="107"/>
      <c r="L401" s="107"/>
      <c r="M401" s="140"/>
      <c r="N401" s="107"/>
      <c r="O401" s="107"/>
      <c r="P401" s="107"/>
      <c r="Q401" s="107"/>
      <c r="R401" s="107"/>
      <c r="S401" s="107"/>
      <c r="T401" s="107"/>
      <c r="U401" s="107"/>
      <c r="V401" s="107"/>
      <c r="W401" s="107"/>
      <c r="X401" s="107"/>
      <c r="Y401" s="107"/>
      <c r="Z401" s="107"/>
      <c r="AA401" s="108"/>
      <c r="AB401" s="104"/>
      <c r="AC401" s="104"/>
      <c r="AD401" s="104"/>
    </row>
    <row r="402" spans="1:30" ht="114.75">
      <c r="A402" s="147"/>
      <c r="B402" s="83" t="s">
        <v>1985</v>
      </c>
      <c r="C402" s="83" t="s">
        <v>1978</v>
      </c>
      <c r="D402" s="28"/>
      <c r="E402" s="83" t="s">
        <v>1533</v>
      </c>
      <c r="F402" s="83" t="s">
        <v>681</v>
      </c>
      <c r="G402" s="139" t="s">
        <v>188</v>
      </c>
      <c r="H402" s="180"/>
      <c r="I402" s="175"/>
      <c r="J402" s="175"/>
      <c r="K402" s="107"/>
      <c r="L402" s="107"/>
      <c r="M402" s="140"/>
      <c r="N402" s="107"/>
      <c r="O402" s="107"/>
      <c r="P402" s="107"/>
      <c r="Q402" s="107"/>
      <c r="R402" s="107"/>
      <c r="S402" s="107"/>
      <c r="T402" s="107"/>
      <c r="U402" s="107"/>
      <c r="V402" s="107"/>
      <c r="W402" s="107"/>
      <c r="X402" s="107"/>
      <c r="Y402" s="107"/>
      <c r="Z402" s="107"/>
      <c r="AA402" s="108"/>
      <c r="AB402" s="104"/>
      <c r="AC402" s="104"/>
      <c r="AD402" s="104"/>
    </row>
    <row r="403" spans="1:30" ht="114.75">
      <c r="A403" s="147"/>
      <c r="B403" s="83" t="s">
        <v>1986</v>
      </c>
      <c r="C403" s="83" t="s">
        <v>1978</v>
      </c>
      <c r="D403" s="28"/>
      <c r="E403" s="83" t="s">
        <v>1534</v>
      </c>
      <c r="F403" s="83" t="s">
        <v>1987</v>
      </c>
      <c r="G403" s="139" t="s">
        <v>188</v>
      </c>
      <c r="H403" s="180"/>
      <c r="I403" s="175"/>
      <c r="J403" s="175"/>
      <c r="K403" s="107"/>
      <c r="L403" s="107"/>
      <c r="M403" s="140"/>
      <c r="N403" s="107"/>
      <c r="O403" s="107"/>
      <c r="P403" s="107"/>
      <c r="Q403" s="107"/>
      <c r="R403" s="107"/>
      <c r="S403" s="107"/>
      <c r="T403" s="107"/>
      <c r="U403" s="107"/>
      <c r="V403" s="107"/>
      <c r="W403" s="107"/>
      <c r="X403" s="107"/>
      <c r="Y403" s="107"/>
      <c r="Z403" s="107"/>
      <c r="AA403" s="108"/>
      <c r="AB403" s="104"/>
      <c r="AC403" s="104"/>
      <c r="AD403" s="104"/>
    </row>
    <row r="404" spans="1:30" ht="114.75">
      <c r="A404" s="147"/>
      <c r="B404" s="83" t="s">
        <v>1988</v>
      </c>
      <c r="C404" s="83" t="s">
        <v>1978</v>
      </c>
      <c r="D404" s="28"/>
      <c r="E404" s="83" t="s">
        <v>1535</v>
      </c>
      <c r="F404" s="83" t="s">
        <v>1536</v>
      </c>
      <c r="G404" s="139" t="s">
        <v>188</v>
      </c>
      <c r="H404" s="180"/>
      <c r="I404" s="175"/>
      <c r="J404" s="175"/>
      <c r="K404" s="107"/>
      <c r="L404" s="107"/>
      <c r="M404" s="140"/>
      <c r="N404" s="107"/>
      <c r="O404" s="107"/>
      <c r="P404" s="107"/>
      <c r="Q404" s="107"/>
      <c r="R404" s="107"/>
      <c r="S404" s="107"/>
      <c r="T404" s="107"/>
      <c r="U404" s="107"/>
      <c r="V404" s="107"/>
      <c r="W404" s="107"/>
      <c r="X404" s="107"/>
      <c r="Y404" s="107"/>
      <c r="Z404" s="107"/>
      <c r="AA404" s="108"/>
      <c r="AB404" s="104"/>
      <c r="AC404" s="104"/>
      <c r="AD404" s="104"/>
    </row>
    <row r="405" spans="1:30" ht="140.25">
      <c r="A405" s="147"/>
      <c r="B405" s="83" t="s">
        <v>1989</v>
      </c>
      <c r="C405" s="83" t="s">
        <v>1990</v>
      </c>
      <c r="D405" s="28"/>
      <c r="E405" s="83" t="s">
        <v>1991</v>
      </c>
      <c r="F405" s="83" t="s">
        <v>1992</v>
      </c>
      <c r="G405" s="139" t="s">
        <v>188</v>
      </c>
      <c r="H405" s="180"/>
      <c r="I405" s="175"/>
      <c r="J405" s="175"/>
      <c r="K405" s="107"/>
      <c r="L405" s="107"/>
      <c r="M405" s="140"/>
      <c r="N405" s="107"/>
      <c r="O405" s="107"/>
      <c r="P405" s="107"/>
      <c r="Q405" s="107"/>
      <c r="R405" s="107"/>
      <c r="S405" s="107"/>
      <c r="T405" s="107"/>
      <c r="U405" s="107"/>
      <c r="V405" s="107"/>
      <c r="W405" s="107"/>
      <c r="X405" s="107"/>
      <c r="Y405" s="107"/>
      <c r="Z405" s="107"/>
      <c r="AA405" s="108"/>
      <c r="AB405" s="104"/>
      <c r="AC405" s="104"/>
      <c r="AD405" s="104"/>
    </row>
    <row r="406" spans="1:30" ht="153">
      <c r="A406" s="147"/>
      <c r="B406" s="83" t="s">
        <v>1993</v>
      </c>
      <c r="C406" s="83" t="s">
        <v>1994</v>
      </c>
      <c r="D406" s="28"/>
      <c r="E406" s="83" t="s">
        <v>1537</v>
      </c>
      <c r="F406" s="83" t="s">
        <v>1538</v>
      </c>
      <c r="G406" s="139" t="s">
        <v>188</v>
      </c>
      <c r="H406" s="180"/>
      <c r="I406" s="175"/>
      <c r="J406" s="175"/>
      <c r="K406" s="107"/>
      <c r="L406" s="107"/>
      <c r="M406" s="140"/>
      <c r="N406" s="107"/>
      <c r="O406" s="107"/>
      <c r="P406" s="107"/>
      <c r="Q406" s="107"/>
      <c r="R406" s="107"/>
      <c r="S406" s="107"/>
      <c r="T406" s="107"/>
      <c r="U406" s="107"/>
      <c r="V406" s="107"/>
      <c r="W406" s="107"/>
      <c r="X406" s="107"/>
      <c r="Y406" s="107"/>
      <c r="Z406" s="107"/>
      <c r="AA406" s="108"/>
      <c r="AB406" s="104"/>
      <c r="AC406" s="104"/>
      <c r="AD406" s="104"/>
    </row>
    <row r="407" spans="1:30" ht="165.75">
      <c r="A407" s="147"/>
      <c r="B407" s="83" t="s">
        <v>1995</v>
      </c>
      <c r="C407" s="83" t="s">
        <v>1996</v>
      </c>
      <c r="D407" s="28"/>
      <c r="E407" s="83" t="s">
        <v>1997</v>
      </c>
      <c r="F407" s="83" t="s">
        <v>1998</v>
      </c>
      <c r="G407" s="139" t="s">
        <v>188</v>
      </c>
      <c r="H407" s="189"/>
      <c r="I407" s="175"/>
      <c r="J407" s="175"/>
      <c r="K407" s="107"/>
      <c r="L407" s="107"/>
      <c r="M407" s="140"/>
      <c r="N407" s="107"/>
      <c r="O407" s="107"/>
      <c r="P407" s="107"/>
      <c r="Q407" s="107"/>
      <c r="R407" s="107"/>
      <c r="S407" s="107"/>
      <c r="T407" s="107"/>
      <c r="U407" s="107"/>
      <c r="V407" s="107"/>
      <c r="W407" s="107"/>
      <c r="X407" s="107"/>
      <c r="Y407" s="107"/>
      <c r="Z407" s="107"/>
      <c r="AA407" s="108"/>
      <c r="AB407" s="104"/>
      <c r="AC407" s="104"/>
      <c r="AD407" s="104"/>
    </row>
    <row r="408" spans="1:30" ht="127.5">
      <c r="A408" s="147"/>
      <c r="B408" s="83" t="s">
        <v>1999</v>
      </c>
      <c r="C408" s="83" t="s">
        <v>2000</v>
      </c>
      <c r="D408" s="28"/>
      <c r="E408" s="83" t="s">
        <v>2001</v>
      </c>
      <c r="F408" s="83" t="s">
        <v>2002</v>
      </c>
      <c r="G408" s="139" t="s">
        <v>188</v>
      </c>
      <c r="H408" s="189"/>
      <c r="I408" s="175"/>
      <c r="J408" s="175"/>
      <c r="K408" s="107"/>
      <c r="L408" s="107"/>
      <c r="M408" s="140"/>
      <c r="N408" s="107"/>
      <c r="O408" s="107"/>
      <c r="P408" s="107"/>
      <c r="Q408" s="107"/>
      <c r="R408" s="107"/>
      <c r="S408" s="107"/>
      <c r="T408" s="107"/>
      <c r="U408" s="107"/>
      <c r="V408" s="107"/>
      <c r="W408" s="107"/>
      <c r="X408" s="107"/>
      <c r="Y408" s="107"/>
      <c r="Z408" s="107"/>
      <c r="AA408" s="108"/>
      <c r="AB408" s="104"/>
      <c r="AC408" s="104"/>
      <c r="AD408" s="104"/>
    </row>
    <row r="409" spans="1:30" ht="165.75">
      <c r="A409" s="147"/>
      <c r="B409" s="83" t="s">
        <v>2003</v>
      </c>
      <c r="C409" s="83" t="s">
        <v>2004</v>
      </c>
      <c r="D409" s="28"/>
      <c r="E409" s="83" t="s">
        <v>2005</v>
      </c>
      <c r="F409" s="83" t="s">
        <v>1539</v>
      </c>
      <c r="G409" s="139" t="s">
        <v>188</v>
      </c>
      <c r="H409" s="180"/>
      <c r="I409" s="175"/>
      <c r="J409" s="175"/>
      <c r="K409" s="107"/>
      <c r="L409" s="107"/>
      <c r="M409" s="140"/>
      <c r="N409" s="107"/>
      <c r="O409" s="107"/>
      <c r="P409" s="107"/>
      <c r="Q409" s="107"/>
      <c r="R409" s="107"/>
      <c r="S409" s="107"/>
      <c r="T409" s="107"/>
      <c r="U409" s="107"/>
      <c r="V409" s="107"/>
      <c r="W409" s="107"/>
      <c r="X409" s="107"/>
      <c r="Y409" s="107"/>
      <c r="Z409" s="107"/>
      <c r="AA409" s="108"/>
      <c r="AB409" s="104"/>
      <c r="AC409" s="104"/>
      <c r="AD409" s="104"/>
    </row>
    <row r="410" spans="1:30" ht="165.75">
      <c r="A410" s="147"/>
      <c r="B410" s="83" t="s">
        <v>2006</v>
      </c>
      <c r="C410" s="83" t="s">
        <v>2004</v>
      </c>
      <c r="D410" s="28"/>
      <c r="E410" s="83" t="s">
        <v>2007</v>
      </c>
      <c r="F410" s="83" t="s">
        <v>709</v>
      </c>
      <c r="G410" s="139" t="s">
        <v>188</v>
      </c>
      <c r="H410" s="180"/>
      <c r="I410" s="175"/>
      <c r="J410" s="175"/>
      <c r="K410" s="107"/>
      <c r="L410" s="107"/>
      <c r="M410" s="140"/>
      <c r="N410" s="107"/>
      <c r="O410" s="107"/>
      <c r="P410" s="107"/>
      <c r="Q410" s="107"/>
      <c r="R410" s="107"/>
      <c r="S410" s="107"/>
      <c r="T410" s="107"/>
      <c r="U410" s="107"/>
      <c r="V410" s="107"/>
      <c r="W410" s="107"/>
      <c r="X410" s="107"/>
      <c r="Y410" s="107"/>
      <c r="Z410" s="107"/>
      <c r="AA410" s="108"/>
      <c r="AB410" s="104"/>
      <c r="AC410" s="104"/>
      <c r="AD410" s="104"/>
    </row>
    <row r="411" spans="1:30" ht="165.75">
      <c r="A411" s="147"/>
      <c r="B411" s="83" t="s">
        <v>2008</v>
      </c>
      <c r="C411" s="83" t="s">
        <v>2009</v>
      </c>
      <c r="D411" s="28"/>
      <c r="E411" s="83" t="s">
        <v>2010</v>
      </c>
      <c r="F411" s="83" t="s">
        <v>713</v>
      </c>
      <c r="G411" s="139" t="s">
        <v>188</v>
      </c>
      <c r="H411" s="180"/>
      <c r="I411" s="175"/>
      <c r="J411" s="175"/>
      <c r="K411" s="107"/>
      <c r="L411" s="107"/>
      <c r="M411" s="140"/>
      <c r="N411" s="107"/>
      <c r="O411" s="107"/>
      <c r="P411" s="107"/>
      <c r="Q411" s="107"/>
      <c r="R411" s="107"/>
      <c r="S411" s="107"/>
      <c r="T411" s="107"/>
      <c r="U411" s="107"/>
      <c r="V411" s="107"/>
      <c r="W411" s="107"/>
      <c r="X411" s="107"/>
      <c r="Y411" s="107"/>
      <c r="Z411" s="107"/>
      <c r="AA411" s="108"/>
      <c r="AB411" s="104"/>
      <c r="AC411" s="104"/>
      <c r="AD411" s="104"/>
    </row>
    <row r="412" spans="1:30" ht="165.75">
      <c r="A412" s="147"/>
      <c r="B412" s="83" t="s">
        <v>2011</v>
      </c>
      <c r="C412" s="83" t="s">
        <v>2004</v>
      </c>
      <c r="D412" s="28"/>
      <c r="E412" s="83" t="s">
        <v>2012</v>
      </c>
      <c r="F412" s="83" t="s">
        <v>1540</v>
      </c>
      <c r="G412" s="139" t="s">
        <v>188</v>
      </c>
      <c r="H412" s="189"/>
      <c r="I412" s="175"/>
      <c r="J412" s="175"/>
      <c r="K412" s="107"/>
      <c r="L412" s="107"/>
      <c r="M412" s="140"/>
      <c r="N412" s="107"/>
      <c r="O412" s="107"/>
      <c r="P412" s="107"/>
      <c r="Q412" s="107"/>
      <c r="R412" s="107"/>
      <c r="S412" s="107"/>
      <c r="T412" s="107"/>
      <c r="U412" s="107"/>
      <c r="V412" s="107"/>
      <c r="W412" s="107"/>
      <c r="X412" s="107"/>
      <c r="Y412" s="107"/>
      <c r="Z412" s="107"/>
      <c r="AA412" s="108"/>
      <c r="AB412" s="104"/>
      <c r="AC412" s="104"/>
      <c r="AD412" s="104"/>
    </row>
    <row r="413" spans="1:30" ht="153">
      <c r="A413" s="147"/>
      <c r="B413" s="83" t="s">
        <v>2013</v>
      </c>
      <c r="C413" s="83" t="s">
        <v>2014</v>
      </c>
      <c r="D413" s="28"/>
      <c r="E413" s="83" t="s">
        <v>2015</v>
      </c>
      <c r="F413" s="83" t="s">
        <v>2016</v>
      </c>
      <c r="G413" s="139" t="s">
        <v>188</v>
      </c>
      <c r="H413" s="180"/>
      <c r="I413" s="175"/>
      <c r="J413" s="175"/>
      <c r="K413" s="107"/>
      <c r="L413" s="107"/>
      <c r="M413" s="140"/>
      <c r="N413" s="107"/>
      <c r="O413" s="107"/>
      <c r="P413" s="107"/>
      <c r="Q413" s="107"/>
      <c r="R413" s="107"/>
      <c r="S413" s="107"/>
      <c r="T413" s="107"/>
      <c r="U413" s="107"/>
      <c r="V413" s="107"/>
      <c r="W413" s="107"/>
      <c r="X413" s="107"/>
      <c r="Y413" s="107"/>
      <c r="Z413" s="107"/>
      <c r="AA413" s="108"/>
      <c r="AB413" s="104"/>
      <c r="AC413" s="104"/>
      <c r="AD413" s="104"/>
    </row>
    <row r="414" spans="1:30" ht="178.5">
      <c r="A414" s="147"/>
      <c r="B414" s="83" t="s">
        <v>1541</v>
      </c>
      <c r="C414" s="83" t="s">
        <v>2017</v>
      </c>
      <c r="D414" s="28"/>
      <c r="E414" s="83" t="s">
        <v>1542</v>
      </c>
      <c r="F414" s="83" t="s">
        <v>2018</v>
      </c>
      <c r="G414" s="139" t="s">
        <v>188</v>
      </c>
      <c r="H414" s="180"/>
      <c r="I414" s="175"/>
      <c r="J414" s="175"/>
      <c r="K414" s="107"/>
      <c r="L414" s="107"/>
      <c r="M414" s="140"/>
      <c r="N414" s="107"/>
      <c r="O414" s="107"/>
      <c r="P414" s="107"/>
      <c r="Q414" s="107"/>
      <c r="R414" s="107"/>
      <c r="S414" s="107"/>
      <c r="T414" s="107"/>
      <c r="U414" s="107"/>
      <c r="V414" s="107"/>
      <c r="W414" s="107"/>
      <c r="X414" s="107"/>
      <c r="Y414" s="107"/>
      <c r="Z414" s="107"/>
      <c r="AA414" s="108"/>
      <c r="AB414" s="104"/>
      <c r="AC414" s="104"/>
      <c r="AD414" s="104"/>
    </row>
    <row r="415" spans="1:30" ht="178.5">
      <c r="A415" s="147"/>
      <c r="B415" s="83" t="s">
        <v>2019</v>
      </c>
      <c r="C415" s="83" t="s">
        <v>2017</v>
      </c>
      <c r="D415" s="28"/>
      <c r="E415" s="83" t="s">
        <v>1543</v>
      </c>
      <c r="F415" s="83" t="s">
        <v>2020</v>
      </c>
      <c r="G415" s="139" t="s">
        <v>188</v>
      </c>
      <c r="H415" s="180"/>
      <c r="I415" s="175"/>
      <c r="J415" s="175"/>
      <c r="K415" s="107"/>
      <c r="L415" s="107"/>
      <c r="M415" s="140"/>
      <c r="N415" s="107"/>
      <c r="O415" s="107"/>
      <c r="P415" s="107"/>
      <c r="Q415" s="107"/>
      <c r="R415" s="107"/>
      <c r="S415" s="107"/>
      <c r="T415" s="107"/>
      <c r="U415" s="107"/>
      <c r="V415" s="107"/>
      <c r="W415" s="107"/>
      <c r="X415" s="107"/>
      <c r="Y415" s="107"/>
      <c r="Z415" s="107"/>
      <c r="AA415" s="108"/>
      <c r="AB415" s="104"/>
      <c r="AC415" s="104"/>
      <c r="AD415" s="104"/>
    </row>
    <row r="416" spans="1:30" ht="140.25">
      <c r="A416" s="147"/>
      <c r="B416" s="83" t="s">
        <v>1544</v>
      </c>
      <c r="C416" s="83" t="s">
        <v>2021</v>
      </c>
      <c r="D416" s="28"/>
      <c r="E416" s="83" t="s">
        <v>2022</v>
      </c>
      <c r="F416" s="83" t="s">
        <v>2023</v>
      </c>
      <c r="G416" s="139" t="s">
        <v>188</v>
      </c>
      <c r="H416" s="180"/>
      <c r="I416" s="175"/>
      <c r="J416" s="175"/>
      <c r="K416" s="107"/>
      <c r="L416" s="107"/>
      <c r="M416" s="140"/>
      <c r="N416" s="107"/>
      <c r="O416" s="107"/>
      <c r="P416" s="107"/>
      <c r="Q416" s="107"/>
      <c r="R416" s="107"/>
      <c r="S416" s="107"/>
      <c r="T416" s="107"/>
      <c r="U416" s="107"/>
      <c r="V416" s="107"/>
      <c r="W416" s="107"/>
      <c r="X416" s="107"/>
      <c r="Y416" s="107"/>
      <c r="Z416" s="107"/>
      <c r="AA416" s="108"/>
      <c r="AB416" s="104"/>
      <c r="AC416" s="104"/>
      <c r="AD416" s="104"/>
    </row>
    <row r="417" spans="1:30" ht="114.75">
      <c r="A417" s="147"/>
      <c r="B417" s="83" t="s">
        <v>1545</v>
      </c>
      <c r="C417" s="83" t="s">
        <v>2021</v>
      </c>
      <c r="D417" s="28"/>
      <c r="E417" s="83" t="s">
        <v>2022</v>
      </c>
      <c r="F417" s="83" t="s">
        <v>733</v>
      </c>
      <c r="G417" s="139" t="s">
        <v>188</v>
      </c>
      <c r="H417" s="180"/>
      <c r="I417" s="175"/>
      <c r="J417" s="175"/>
      <c r="K417" s="107"/>
      <c r="L417" s="107"/>
      <c r="M417" s="140"/>
      <c r="N417" s="107"/>
      <c r="O417" s="107"/>
      <c r="P417" s="107"/>
      <c r="Q417" s="107"/>
      <c r="R417" s="107"/>
      <c r="S417" s="107"/>
      <c r="T417" s="107"/>
      <c r="U417" s="107"/>
      <c r="V417" s="107"/>
      <c r="W417" s="107"/>
      <c r="X417" s="107"/>
      <c r="Y417" s="107"/>
      <c r="Z417" s="107"/>
      <c r="AA417" s="108"/>
      <c r="AB417" s="104"/>
      <c r="AC417" s="104"/>
      <c r="AD417" s="104"/>
    </row>
    <row r="418" spans="1:30" ht="165.75">
      <c r="A418" s="147"/>
      <c r="B418" s="83" t="s">
        <v>2024</v>
      </c>
      <c r="C418" s="83" t="s">
        <v>2021</v>
      </c>
      <c r="D418" s="28"/>
      <c r="E418" s="83" t="s">
        <v>1546</v>
      </c>
      <c r="F418" s="83" t="s">
        <v>1547</v>
      </c>
      <c r="G418" s="139" t="s">
        <v>188</v>
      </c>
      <c r="H418" s="180"/>
      <c r="I418" s="175"/>
      <c r="J418" s="175"/>
      <c r="K418" s="107"/>
      <c r="L418" s="107"/>
      <c r="M418" s="140"/>
      <c r="N418" s="107"/>
      <c r="O418" s="107"/>
      <c r="P418" s="107"/>
      <c r="Q418" s="107"/>
      <c r="R418" s="107"/>
      <c r="S418" s="107"/>
      <c r="T418" s="107"/>
      <c r="U418" s="107"/>
      <c r="V418" s="107"/>
      <c r="W418" s="107"/>
      <c r="X418" s="107"/>
      <c r="Y418" s="107"/>
      <c r="Z418" s="107"/>
      <c r="AA418" s="108"/>
      <c r="AB418" s="104"/>
      <c r="AC418" s="104"/>
      <c r="AD418" s="104"/>
    </row>
    <row r="419" spans="1:30" ht="102">
      <c r="A419" s="147"/>
      <c r="B419" s="83" t="s">
        <v>741</v>
      </c>
      <c r="C419" s="83" t="s">
        <v>1548</v>
      </c>
      <c r="D419" s="28"/>
      <c r="E419" s="83" t="s">
        <v>2025</v>
      </c>
      <c r="F419" s="83" t="s">
        <v>744</v>
      </c>
      <c r="G419" s="139" t="s">
        <v>188</v>
      </c>
      <c r="H419" s="190"/>
      <c r="I419" s="175"/>
      <c r="J419" s="175"/>
      <c r="K419" s="107"/>
      <c r="L419" s="107"/>
      <c r="M419" s="140"/>
      <c r="N419" s="107"/>
      <c r="O419" s="107"/>
      <c r="P419" s="107"/>
      <c r="Q419" s="107"/>
      <c r="R419" s="107"/>
      <c r="S419" s="107"/>
      <c r="T419" s="107"/>
      <c r="U419" s="107"/>
      <c r="V419" s="107"/>
      <c r="W419" s="107"/>
      <c r="X419" s="107"/>
      <c r="Y419" s="107"/>
      <c r="Z419" s="107"/>
      <c r="AA419" s="108"/>
      <c r="AB419" s="104"/>
      <c r="AC419" s="104"/>
      <c r="AD419" s="104"/>
    </row>
    <row r="420" spans="1:30" ht="12.75">
      <c r="A420" s="236" t="s">
        <v>2026</v>
      </c>
      <c r="B420" s="237"/>
      <c r="C420" s="237"/>
      <c r="D420" s="237"/>
      <c r="E420" s="237"/>
      <c r="F420" s="237"/>
      <c r="G420" s="237"/>
      <c r="H420" s="237"/>
      <c r="I420" s="237"/>
      <c r="J420" s="238"/>
      <c r="K420" s="107"/>
      <c r="L420" s="107"/>
      <c r="M420" s="140"/>
      <c r="N420" s="107"/>
      <c r="O420" s="107"/>
      <c r="P420" s="107"/>
      <c r="Q420" s="107"/>
      <c r="R420" s="107"/>
      <c r="S420" s="107"/>
      <c r="T420" s="107"/>
      <c r="U420" s="107"/>
      <c r="V420" s="107"/>
      <c r="W420" s="107"/>
      <c r="X420" s="107"/>
      <c r="Y420" s="107"/>
      <c r="Z420" s="107"/>
      <c r="AA420" s="108"/>
      <c r="AB420" s="104"/>
      <c r="AC420" s="104"/>
      <c r="AD420" s="104"/>
    </row>
    <row r="421" spans="1:30" ht="102">
      <c r="A421" s="147"/>
      <c r="B421" s="83" t="s">
        <v>1549</v>
      </c>
      <c r="C421" s="83" t="s">
        <v>1550</v>
      </c>
      <c r="D421" s="28"/>
      <c r="E421" s="83" t="s">
        <v>2027</v>
      </c>
      <c r="F421" s="83" t="s">
        <v>2028</v>
      </c>
      <c r="G421" s="139" t="s">
        <v>188</v>
      </c>
      <c r="H421" s="83"/>
      <c r="I421" s="175"/>
      <c r="J421" s="175"/>
      <c r="K421" s="107"/>
      <c r="L421" s="107"/>
      <c r="M421" s="107"/>
      <c r="N421" s="107"/>
      <c r="O421" s="107"/>
      <c r="P421" s="107"/>
      <c r="Q421" s="107"/>
      <c r="R421" s="107"/>
      <c r="S421" s="107"/>
      <c r="T421" s="107"/>
      <c r="U421" s="107"/>
      <c r="V421" s="107"/>
      <c r="W421" s="107"/>
      <c r="X421" s="107"/>
      <c r="Y421" s="107"/>
      <c r="Z421" s="107"/>
      <c r="AA421" s="108"/>
      <c r="AB421" s="104"/>
      <c r="AC421" s="104"/>
      <c r="AD421" s="104"/>
    </row>
    <row r="422" spans="1:30" ht="229.5">
      <c r="A422" s="147"/>
      <c r="B422" s="83" t="s">
        <v>2029</v>
      </c>
      <c r="C422" s="83" t="s">
        <v>2030</v>
      </c>
      <c r="D422" s="28"/>
      <c r="E422" s="83" t="s">
        <v>2031</v>
      </c>
      <c r="F422" s="83" t="s">
        <v>2032</v>
      </c>
      <c r="G422" s="139" t="s">
        <v>188</v>
      </c>
      <c r="H422" s="128"/>
      <c r="I422" s="175"/>
      <c r="J422" s="175"/>
      <c r="K422" s="107"/>
      <c r="L422" s="107"/>
      <c r="M422" s="140"/>
      <c r="N422" s="107"/>
      <c r="O422" s="107"/>
      <c r="P422" s="107"/>
      <c r="Q422" s="107"/>
      <c r="R422" s="107"/>
      <c r="S422" s="107"/>
      <c r="T422" s="107"/>
      <c r="U422" s="107"/>
      <c r="V422" s="107"/>
      <c r="W422" s="107"/>
      <c r="X422" s="107"/>
      <c r="Y422" s="107"/>
      <c r="Z422" s="107"/>
      <c r="AA422" s="108"/>
      <c r="AB422" s="104"/>
      <c r="AC422" s="104"/>
      <c r="AD422" s="104"/>
    </row>
    <row r="423" spans="1:30" ht="140.25">
      <c r="A423" s="147"/>
      <c r="B423" s="83" t="s">
        <v>2033</v>
      </c>
      <c r="C423" s="83" t="s">
        <v>2030</v>
      </c>
      <c r="D423" s="28"/>
      <c r="E423" s="83" t="s">
        <v>2034</v>
      </c>
      <c r="F423" s="83" t="s">
        <v>2035</v>
      </c>
      <c r="G423" s="139" t="s">
        <v>188</v>
      </c>
      <c r="H423" s="128"/>
      <c r="I423" s="175"/>
      <c r="J423" s="175"/>
      <c r="K423" s="107"/>
      <c r="L423" s="107"/>
      <c r="M423" s="140"/>
      <c r="N423" s="107"/>
      <c r="O423" s="107"/>
      <c r="P423" s="107"/>
      <c r="Q423" s="107"/>
      <c r="R423" s="107"/>
      <c r="S423" s="107"/>
      <c r="T423" s="107"/>
      <c r="U423" s="107"/>
      <c r="V423" s="107"/>
      <c r="W423" s="107"/>
      <c r="X423" s="107"/>
      <c r="Y423" s="107"/>
      <c r="Z423" s="107"/>
      <c r="AA423" s="108"/>
      <c r="AB423" s="104"/>
      <c r="AC423" s="104"/>
      <c r="AD423" s="104"/>
    </row>
    <row r="424" spans="1:30" ht="178.5">
      <c r="A424" s="147"/>
      <c r="B424" s="83" t="s">
        <v>2036</v>
      </c>
      <c r="C424" s="83" t="s">
        <v>2030</v>
      </c>
      <c r="D424" s="28"/>
      <c r="E424" s="83" t="s">
        <v>1551</v>
      </c>
      <c r="F424" s="83" t="s">
        <v>2037</v>
      </c>
      <c r="G424" s="139" t="s">
        <v>188</v>
      </c>
      <c r="H424" s="83"/>
      <c r="I424" s="175"/>
      <c r="J424" s="175"/>
      <c r="K424" s="107"/>
      <c r="L424" s="107"/>
      <c r="M424" s="140"/>
      <c r="N424" s="107"/>
      <c r="O424" s="107"/>
      <c r="P424" s="107"/>
      <c r="Q424" s="107"/>
      <c r="R424" s="107"/>
      <c r="S424" s="107"/>
      <c r="T424" s="107"/>
      <c r="U424" s="107"/>
      <c r="V424" s="107"/>
      <c r="W424" s="107"/>
      <c r="X424" s="107"/>
      <c r="Y424" s="107"/>
      <c r="Z424" s="107"/>
      <c r="AA424" s="108"/>
      <c r="AB424" s="104"/>
      <c r="AC424" s="104"/>
      <c r="AD424" s="104"/>
    </row>
    <row r="425" spans="1:30" ht="331.5">
      <c r="A425" s="147"/>
      <c r="B425" s="83" t="s">
        <v>2038</v>
      </c>
      <c r="C425" s="83" t="s">
        <v>2039</v>
      </c>
      <c r="D425" s="28"/>
      <c r="E425" s="83" t="s">
        <v>2040</v>
      </c>
      <c r="F425" s="83" t="s">
        <v>2041</v>
      </c>
      <c r="G425" s="139" t="s">
        <v>188</v>
      </c>
      <c r="H425" s="83"/>
      <c r="I425" s="175"/>
      <c r="J425" s="175"/>
      <c r="K425" s="107"/>
      <c r="L425" s="107"/>
      <c r="M425" s="140"/>
      <c r="N425" s="107"/>
      <c r="O425" s="107"/>
      <c r="P425" s="107"/>
      <c r="Q425" s="107"/>
      <c r="R425" s="107"/>
      <c r="S425" s="107"/>
      <c r="T425" s="107"/>
      <c r="U425" s="107"/>
      <c r="V425" s="107"/>
      <c r="W425" s="107"/>
      <c r="X425" s="107"/>
      <c r="Y425" s="107"/>
      <c r="Z425" s="107"/>
      <c r="AA425" s="108"/>
      <c r="AB425" s="104"/>
      <c r="AC425" s="104"/>
      <c r="AD425" s="104"/>
    </row>
    <row r="426" spans="1:30" ht="89.25">
      <c r="A426" s="147"/>
      <c r="B426" s="83" t="s">
        <v>763</v>
      </c>
      <c r="C426" s="83" t="s">
        <v>2039</v>
      </c>
      <c r="D426" s="28"/>
      <c r="E426" s="83" t="s">
        <v>1552</v>
      </c>
      <c r="F426" s="83" t="s">
        <v>2042</v>
      </c>
      <c r="G426" s="139" t="s">
        <v>188</v>
      </c>
      <c r="H426" s="83"/>
      <c r="I426" s="175"/>
      <c r="J426" s="175"/>
      <c r="K426" s="107"/>
      <c r="L426" s="107"/>
      <c r="M426" s="140"/>
      <c r="N426" s="107"/>
      <c r="O426" s="107"/>
      <c r="P426" s="107"/>
      <c r="Q426" s="107"/>
      <c r="R426" s="107"/>
      <c r="S426" s="107"/>
      <c r="T426" s="107"/>
      <c r="U426" s="107"/>
      <c r="V426" s="107"/>
      <c r="W426" s="107"/>
      <c r="X426" s="107"/>
      <c r="Y426" s="107"/>
      <c r="Z426" s="107"/>
      <c r="AA426" s="108"/>
      <c r="AB426" s="104"/>
      <c r="AC426" s="104"/>
      <c r="AD426" s="104"/>
    </row>
    <row r="427" spans="1:30" ht="63.75">
      <c r="A427" s="147"/>
      <c r="B427" s="83" t="s">
        <v>2043</v>
      </c>
      <c r="C427" s="83" t="s">
        <v>2044</v>
      </c>
      <c r="D427" s="28"/>
      <c r="E427" s="83" t="s">
        <v>1553</v>
      </c>
      <c r="F427" s="83" t="s">
        <v>1554</v>
      </c>
      <c r="G427" s="139" t="s">
        <v>188</v>
      </c>
      <c r="H427" s="83"/>
      <c r="I427" s="175"/>
      <c r="J427" s="175"/>
      <c r="K427" s="107"/>
      <c r="L427" s="107"/>
      <c r="M427" s="140"/>
      <c r="N427" s="107"/>
      <c r="O427" s="107"/>
      <c r="P427" s="107"/>
      <c r="Q427" s="107"/>
      <c r="R427" s="107"/>
      <c r="S427" s="107"/>
      <c r="T427" s="107"/>
      <c r="U427" s="107"/>
      <c r="V427" s="107"/>
      <c r="W427" s="107"/>
      <c r="X427" s="107"/>
      <c r="Y427" s="107"/>
      <c r="Z427" s="107"/>
      <c r="AA427" s="108"/>
      <c r="AB427" s="104"/>
      <c r="AC427" s="104"/>
      <c r="AD427" s="104"/>
    </row>
    <row r="428" spans="1:30" ht="14.25">
      <c r="A428" s="143"/>
      <c r="B428" s="191"/>
      <c r="C428" s="143"/>
      <c r="D428" s="191"/>
      <c r="E428" s="191"/>
      <c r="F428" s="192"/>
      <c r="G428" s="191"/>
      <c r="H428" s="191"/>
      <c r="I428" s="143"/>
      <c r="J428" s="143"/>
      <c r="K428" s="143"/>
      <c r="L428" s="143"/>
      <c r="M428" s="140"/>
      <c r="N428" s="143"/>
      <c r="O428" s="143"/>
      <c r="P428" s="143"/>
      <c r="Q428" s="143"/>
      <c r="R428" s="143"/>
      <c r="S428" s="143"/>
      <c r="T428" s="143"/>
      <c r="U428" s="143"/>
      <c r="V428" s="143"/>
      <c r="W428" s="143"/>
      <c r="X428" s="143"/>
      <c r="Y428" s="143"/>
      <c r="Z428" s="143"/>
      <c r="AA428" s="143"/>
      <c r="AB428" s="104"/>
      <c r="AC428" s="104"/>
      <c r="AD428" s="104"/>
    </row>
    <row r="429" spans="1:30" ht="14.25">
      <c r="A429" s="143"/>
      <c r="B429" s="191"/>
      <c r="C429" s="143"/>
      <c r="D429" s="191"/>
      <c r="E429" s="191"/>
      <c r="F429" s="192"/>
      <c r="G429" s="191"/>
      <c r="H429" s="191"/>
      <c r="I429" s="143"/>
      <c r="J429" s="143"/>
      <c r="K429" s="143"/>
      <c r="L429" s="143"/>
      <c r="M429" s="191"/>
      <c r="N429" s="143"/>
      <c r="O429" s="143"/>
      <c r="P429" s="143"/>
      <c r="Q429" s="143"/>
      <c r="R429" s="143"/>
      <c r="S429" s="143"/>
      <c r="T429" s="143"/>
      <c r="U429" s="143"/>
      <c r="V429" s="143"/>
      <c r="W429" s="143"/>
      <c r="X429" s="143"/>
      <c r="Y429" s="143"/>
      <c r="Z429" s="143"/>
      <c r="AA429" s="143"/>
      <c r="AB429" s="104"/>
      <c r="AC429" s="104"/>
      <c r="AD429" s="104"/>
    </row>
    <row r="430" spans="1:30" ht="14.25">
      <c r="A430" s="143"/>
      <c r="B430" s="191"/>
      <c r="C430" s="143"/>
      <c r="D430" s="191"/>
      <c r="E430" s="191"/>
      <c r="F430" s="192"/>
      <c r="G430" s="191"/>
      <c r="H430" s="191"/>
      <c r="I430" s="143"/>
      <c r="J430" s="143"/>
      <c r="K430" s="143"/>
      <c r="L430" s="143"/>
      <c r="M430" s="191"/>
      <c r="N430" s="143"/>
      <c r="O430" s="143"/>
      <c r="P430" s="143"/>
      <c r="Q430" s="143"/>
      <c r="R430" s="143"/>
      <c r="S430" s="143"/>
      <c r="T430" s="143"/>
      <c r="U430" s="143"/>
      <c r="V430" s="143"/>
      <c r="W430" s="143"/>
      <c r="X430" s="143"/>
      <c r="Y430" s="143"/>
      <c r="Z430" s="143"/>
      <c r="AA430" s="143"/>
      <c r="AB430" s="104"/>
      <c r="AC430" s="104"/>
      <c r="AD430" s="104"/>
    </row>
    <row r="431" spans="1:30" ht="14.25">
      <c r="A431" s="143"/>
      <c r="B431" s="191"/>
      <c r="C431" s="143"/>
      <c r="D431" s="191"/>
      <c r="E431" s="191"/>
      <c r="F431" s="192"/>
      <c r="G431" s="191"/>
      <c r="H431" s="191"/>
      <c r="I431" s="143"/>
      <c r="J431" s="143"/>
      <c r="K431" s="143"/>
      <c r="L431" s="143"/>
      <c r="M431" s="191"/>
      <c r="N431" s="143"/>
      <c r="O431" s="143"/>
      <c r="P431" s="143"/>
      <c r="Q431" s="143"/>
      <c r="R431" s="143"/>
      <c r="S431" s="143"/>
      <c r="T431" s="143"/>
      <c r="U431" s="143"/>
      <c r="V431" s="143"/>
      <c r="W431" s="143"/>
      <c r="X431" s="143"/>
      <c r="Y431" s="143"/>
      <c r="Z431" s="143"/>
      <c r="AA431" s="143"/>
      <c r="AB431" s="104"/>
      <c r="AC431" s="104"/>
      <c r="AD431" s="104"/>
    </row>
    <row r="432" spans="1:30" ht="14.25">
      <c r="A432" s="143"/>
      <c r="B432" s="191"/>
      <c r="C432" s="143"/>
      <c r="D432" s="191"/>
      <c r="E432" s="191"/>
      <c r="F432" s="192"/>
      <c r="G432" s="191"/>
      <c r="H432" s="191"/>
      <c r="I432" s="143"/>
      <c r="J432" s="143"/>
      <c r="K432" s="143"/>
      <c r="L432" s="143"/>
      <c r="M432" s="191"/>
      <c r="N432" s="143"/>
      <c r="O432" s="143"/>
      <c r="P432" s="143"/>
      <c r="Q432" s="143"/>
      <c r="R432" s="143"/>
      <c r="S432" s="143"/>
      <c r="T432" s="143"/>
      <c r="U432" s="143"/>
      <c r="V432" s="143"/>
      <c r="W432" s="143"/>
      <c r="X432" s="143"/>
      <c r="Y432" s="143"/>
      <c r="Z432" s="143"/>
      <c r="AA432" s="143"/>
      <c r="AB432" s="104"/>
      <c r="AC432" s="104"/>
      <c r="AD432" s="104"/>
    </row>
    <row r="433" spans="1:30" ht="14.25">
      <c r="A433" s="143"/>
      <c r="B433" s="191"/>
      <c r="C433" s="143"/>
      <c r="D433" s="191"/>
      <c r="E433" s="191"/>
      <c r="F433" s="192"/>
      <c r="G433" s="191"/>
      <c r="H433" s="191"/>
      <c r="I433" s="143"/>
      <c r="J433" s="143"/>
      <c r="K433" s="143"/>
      <c r="L433" s="143"/>
      <c r="M433" s="191"/>
      <c r="N433" s="143"/>
      <c r="O433" s="143"/>
      <c r="P433" s="143"/>
      <c r="Q433" s="143"/>
      <c r="R433" s="143"/>
      <c r="S433" s="143"/>
      <c r="T433" s="143"/>
      <c r="U433" s="143"/>
      <c r="V433" s="143"/>
      <c r="W433" s="143"/>
      <c r="X433" s="143"/>
      <c r="Y433" s="143"/>
      <c r="Z433" s="143"/>
      <c r="AA433" s="143"/>
      <c r="AB433" s="104"/>
      <c r="AC433" s="104"/>
      <c r="AD433" s="104"/>
    </row>
    <row r="434" spans="1:30" ht="14.25">
      <c r="A434" s="143"/>
      <c r="B434" s="191"/>
      <c r="C434" s="143"/>
      <c r="D434" s="191"/>
      <c r="E434" s="191"/>
      <c r="F434" s="192"/>
      <c r="G434" s="191"/>
      <c r="H434" s="191"/>
      <c r="I434" s="143"/>
      <c r="J434" s="143"/>
      <c r="K434" s="143"/>
      <c r="L434" s="143"/>
      <c r="M434" s="191"/>
      <c r="N434" s="143"/>
      <c r="O434" s="143"/>
      <c r="P434" s="143"/>
      <c r="Q434" s="143"/>
      <c r="R434" s="143"/>
      <c r="S434" s="143"/>
      <c r="T434" s="143"/>
      <c r="U434" s="143"/>
      <c r="V434" s="143"/>
      <c r="W434" s="143"/>
      <c r="X434" s="143"/>
      <c r="Y434" s="143"/>
      <c r="Z434" s="143"/>
      <c r="AA434" s="143"/>
      <c r="AB434" s="104"/>
      <c r="AC434" s="104"/>
      <c r="AD434" s="104"/>
    </row>
    <row r="435" spans="1:30" ht="14.25">
      <c r="A435" s="143"/>
      <c r="B435" s="191"/>
      <c r="C435" s="143"/>
      <c r="D435" s="191"/>
      <c r="E435" s="191"/>
      <c r="F435" s="192"/>
      <c r="G435" s="191"/>
      <c r="H435" s="191"/>
      <c r="I435" s="143"/>
      <c r="J435" s="143"/>
      <c r="K435" s="143"/>
      <c r="L435" s="143"/>
      <c r="M435" s="191"/>
      <c r="N435" s="143"/>
      <c r="O435" s="143"/>
      <c r="P435" s="143"/>
      <c r="Q435" s="143"/>
      <c r="R435" s="143"/>
      <c r="S435" s="143"/>
      <c r="T435" s="143"/>
      <c r="U435" s="143"/>
      <c r="V435" s="143"/>
      <c r="W435" s="143"/>
      <c r="X435" s="143"/>
      <c r="Y435" s="143"/>
      <c r="Z435" s="143"/>
      <c r="AA435" s="143"/>
      <c r="AB435" s="104"/>
      <c r="AC435" s="104"/>
      <c r="AD435" s="104"/>
    </row>
    <row r="436" spans="1:30" ht="14.25">
      <c r="A436" s="143"/>
      <c r="B436" s="191"/>
      <c r="C436" s="143"/>
      <c r="D436" s="191"/>
      <c r="E436" s="191"/>
      <c r="F436" s="192"/>
      <c r="G436" s="191"/>
      <c r="H436" s="191"/>
      <c r="I436" s="143"/>
      <c r="J436" s="143"/>
      <c r="K436" s="143"/>
      <c r="L436" s="143"/>
      <c r="M436" s="191"/>
      <c r="N436" s="143"/>
      <c r="O436" s="143"/>
      <c r="P436" s="143"/>
      <c r="Q436" s="143"/>
      <c r="R436" s="143"/>
      <c r="S436" s="143"/>
      <c r="T436" s="143"/>
      <c r="U436" s="143"/>
      <c r="V436" s="143"/>
      <c r="W436" s="143"/>
      <c r="X436" s="143"/>
      <c r="Y436" s="143"/>
      <c r="Z436" s="143"/>
      <c r="AA436" s="143"/>
      <c r="AB436" s="104"/>
      <c r="AC436" s="104"/>
      <c r="AD436" s="104"/>
    </row>
    <row r="437" spans="1:30" ht="14.25">
      <c r="A437" s="143"/>
      <c r="B437" s="191"/>
      <c r="C437" s="143"/>
      <c r="D437" s="191"/>
      <c r="E437" s="191"/>
      <c r="F437" s="192"/>
      <c r="G437" s="191"/>
      <c r="H437" s="191"/>
      <c r="I437" s="143"/>
      <c r="J437" s="143"/>
      <c r="K437" s="143"/>
      <c r="L437" s="143"/>
      <c r="M437" s="191"/>
      <c r="N437" s="143"/>
      <c r="O437" s="143"/>
      <c r="P437" s="143"/>
      <c r="Q437" s="143"/>
      <c r="R437" s="143"/>
      <c r="S437" s="143"/>
      <c r="T437" s="143"/>
      <c r="U437" s="143"/>
      <c r="V437" s="143"/>
      <c r="W437" s="143"/>
      <c r="X437" s="143"/>
      <c r="Y437" s="143"/>
      <c r="Z437" s="143"/>
      <c r="AA437" s="143"/>
      <c r="AB437" s="104"/>
      <c r="AC437" s="104"/>
      <c r="AD437" s="104"/>
    </row>
    <row r="438" spans="1:30" ht="14.25">
      <c r="A438" s="143"/>
      <c r="B438" s="191"/>
      <c r="C438" s="143"/>
      <c r="D438" s="191"/>
      <c r="E438" s="191"/>
      <c r="F438" s="192"/>
      <c r="G438" s="191"/>
      <c r="H438" s="191"/>
      <c r="I438" s="143"/>
      <c r="J438" s="143"/>
      <c r="K438" s="143"/>
      <c r="L438" s="143"/>
      <c r="M438" s="191"/>
      <c r="N438" s="143"/>
      <c r="O438" s="143"/>
      <c r="P438" s="143"/>
      <c r="Q438" s="143"/>
      <c r="R438" s="143"/>
      <c r="S438" s="143"/>
      <c r="T438" s="143"/>
      <c r="U438" s="143"/>
      <c r="V438" s="143"/>
      <c r="W438" s="143"/>
      <c r="X438" s="143"/>
      <c r="Y438" s="143"/>
      <c r="Z438" s="143"/>
      <c r="AA438" s="143"/>
      <c r="AB438" s="104"/>
      <c r="AC438" s="104"/>
      <c r="AD438" s="104"/>
    </row>
    <row r="439" spans="1:30" ht="14.25">
      <c r="A439" s="143"/>
      <c r="B439" s="191"/>
      <c r="C439" s="143"/>
      <c r="D439" s="191"/>
      <c r="E439" s="191"/>
      <c r="F439" s="192"/>
      <c r="G439" s="191"/>
      <c r="H439" s="191"/>
      <c r="I439" s="143"/>
      <c r="J439" s="143"/>
      <c r="K439" s="143"/>
      <c r="L439" s="143"/>
      <c r="M439" s="191"/>
      <c r="N439" s="143"/>
      <c r="O439" s="143"/>
      <c r="P439" s="143"/>
      <c r="Q439" s="143"/>
      <c r="R439" s="143"/>
      <c r="S439" s="143"/>
      <c r="T439" s="143"/>
      <c r="U439" s="143"/>
      <c r="V439" s="143"/>
      <c r="W439" s="143"/>
      <c r="X439" s="143"/>
      <c r="Y439" s="143"/>
      <c r="Z439" s="143"/>
      <c r="AA439" s="143"/>
      <c r="AB439" s="104"/>
      <c r="AC439" s="104"/>
      <c r="AD439" s="104"/>
    </row>
    <row r="440" spans="1:30" ht="14.25">
      <c r="A440" s="143"/>
      <c r="B440" s="191"/>
      <c r="C440" s="143"/>
      <c r="D440" s="191"/>
      <c r="E440" s="191"/>
      <c r="F440" s="192"/>
      <c r="G440" s="191"/>
      <c r="H440" s="191"/>
      <c r="I440" s="143"/>
      <c r="J440" s="143"/>
      <c r="K440" s="143"/>
      <c r="L440" s="143"/>
      <c r="M440" s="191"/>
      <c r="N440" s="143"/>
      <c r="O440" s="143"/>
      <c r="P440" s="143"/>
      <c r="Q440" s="143"/>
      <c r="R440" s="143"/>
      <c r="S440" s="143"/>
      <c r="T440" s="143"/>
      <c r="U440" s="143"/>
      <c r="V440" s="143"/>
      <c r="W440" s="143"/>
      <c r="X440" s="143"/>
      <c r="Y440" s="143"/>
      <c r="Z440" s="143"/>
      <c r="AA440" s="143"/>
      <c r="AB440" s="104"/>
      <c r="AC440" s="104"/>
      <c r="AD440" s="104"/>
    </row>
    <row r="441" spans="1:30" ht="14.25">
      <c r="A441" s="143"/>
      <c r="B441" s="191"/>
      <c r="C441" s="143"/>
      <c r="D441" s="191"/>
      <c r="E441" s="191"/>
      <c r="F441" s="192"/>
      <c r="G441" s="191"/>
      <c r="H441" s="191"/>
      <c r="I441" s="143"/>
      <c r="J441" s="143"/>
      <c r="K441" s="143"/>
      <c r="L441" s="143"/>
      <c r="M441" s="191"/>
      <c r="N441" s="143"/>
      <c r="O441" s="143"/>
      <c r="P441" s="143"/>
      <c r="Q441" s="143"/>
      <c r="R441" s="143"/>
      <c r="S441" s="143"/>
      <c r="T441" s="143"/>
      <c r="U441" s="143"/>
      <c r="V441" s="143"/>
      <c r="W441" s="143"/>
      <c r="X441" s="143"/>
      <c r="Y441" s="143"/>
      <c r="Z441" s="143"/>
      <c r="AA441" s="143"/>
      <c r="AB441" s="104"/>
      <c r="AC441" s="104"/>
      <c r="AD441" s="104"/>
    </row>
    <row r="442" spans="1:30" ht="14.25">
      <c r="A442" s="143"/>
      <c r="B442" s="191"/>
      <c r="C442" s="143"/>
      <c r="D442" s="191"/>
      <c r="E442" s="191"/>
      <c r="F442" s="192"/>
      <c r="G442" s="191"/>
      <c r="H442" s="191"/>
      <c r="I442" s="143"/>
      <c r="J442" s="143"/>
      <c r="K442" s="143"/>
      <c r="L442" s="143"/>
      <c r="M442" s="191"/>
      <c r="N442" s="143"/>
      <c r="O442" s="143"/>
      <c r="P442" s="143"/>
      <c r="Q442" s="143"/>
      <c r="R442" s="143"/>
      <c r="S442" s="143"/>
      <c r="T442" s="143"/>
      <c r="U442" s="143"/>
      <c r="V442" s="143"/>
      <c r="W442" s="143"/>
      <c r="X442" s="143"/>
      <c r="Y442" s="143"/>
      <c r="Z442" s="143"/>
      <c r="AA442" s="143"/>
      <c r="AB442" s="104"/>
      <c r="AC442" s="104"/>
      <c r="AD442" s="104"/>
    </row>
    <row r="443" spans="1:30" ht="14.25">
      <c r="A443" s="143"/>
      <c r="B443" s="191"/>
      <c r="C443" s="143"/>
      <c r="D443" s="191"/>
      <c r="E443" s="191"/>
      <c r="F443" s="192"/>
      <c r="G443" s="191"/>
      <c r="H443" s="191"/>
      <c r="I443" s="143"/>
      <c r="J443" s="143"/>
      <c r="K443" s="143"/>
      <c r="L443" s="143"/>
      <c r="M443" s="191"/>
      <c r="N443" s="143"/>
      <c r="O443" s="143"/>
      <c r="P443" s="143"/>
      <c r="Q443" s="143"/>
      <c r="R443" s="143"/>
      <c r="S443" s="143"/>
      <c r="T443" s="143"/>
      <c r="U443" s="143"/>
      <c r="V443" s="143"/>
      <c r="W443" s="143"/>
      <c r="X443" s="143"/>
      <c r="Y443" s="143"/>
      <c r="Z443" s="143"/>
      <c r="AA443" s="143"/>
      <c r="AB443" s="104"/>
      <c r="AC443" s="104"/>
      <c r="AD443" s="104"/>
    </row>
    <row r="444" spans="1:30" ht="14.25">
      <c r="A444" s="143"/>
      <c r="B444" s="191"/>
      <c r="C444" s="143"/>
      <c r="D444" s="191"/>
      <c r="E444" s="191"/>
      <c r="F444" s="192"/>
      <c r="G444" s="191"/>
      <c r="H444" s="191"/>
      <c r="I444" s="143"/>
      <c r="J444" s="143"/>
      <c r="K444" s="143"/>
      <c r="L444" s="143"/>
      <c r="M444" s="191"/>
      <c r="N444" s="143"/>
      <c r="O444" s="143"/>
      <c r="P444" s="143"/>
      <c r="Q444" s="143"/>
      <c r="R444" s="143"/>
      <c r="S444" s="143"/>
      <c r="T444" s="143"/>
      <c r="U444" s="143"/>
      <c r="V444" s="143"/>
      <c r="W444" s="143"/>
      <c r="X444" s="143"/>
      <c r="Y444" s="143"/>
      <c r="Z444" s="143"/>
      <c r="AA444" s="143"/>
      <c r="AB444" s="104"/>
      <c r="AC444" s="104"/>
      <c r="AD444" s="104"/>
    </row>
    <row r="445" spans="1:30" ht="14.25">
      <c r="A445" s="143"/>
      <c r="B445" s="191"/>
      <c r="C445" s="143"/>
      <c r="D445" s="191"/>
      <c r="E445" s="191"/>
      <c r="F445" s="192"/>
      <c r="G445" s="191"/>
      <c r="H445" s="191"/>
      <c r="I445" s="143"/>
      <c r="J445" s="143"/>
      <c r="K445" s="143"/>
      <c r="L445" s="143"/>
      <c r="M445" s="191"/>
      <c r="N445" s="143"/>
      <c r="O445" s="143"/>
      <c r="P445" s="143"/>
      <c r="Q445" s="143"/>
      <c r="R445" s="143"/>
      <c r="S445" s="143"/>
      <c r="T445" s="143"/>
      <c r="U445" s="143"/>
      <c r="V445" s="143"/>
      <c r="W445" s="143"/>
      <c r="X445" s="143"/>
      <c r="Y445" s="143"/>
      <c r="Z445" s="143"/>
      <c r="AA445" s="143"/>
      <c r="AB445" s="104"/>
      <c r="AC445" s="104"/>
      <c r="AD445" s="104"/>
    </row>
    <row r="446" spans="1:30" ht="14.25">
      <c r="A446" s="143"/>
      <c r="B446" s="191"/>
      <c r="C446" s="143"/>
      <c r="D446" s="191"/>
      <c r="E446" s="191"/>
      <c r="F446" s="192"/>
      <c r="G446" s="191"/>
      <c r="H446" s="191"/>
      <c r="I446" s="143"/>
      <c r="J446" s="143"/>
      <c r="K446" s="143"/>
      <c r="L446" s="143"/>
      <c r="M446" s="191"/>
      <c r="N446" s="143"/>
      <c r="O446" s="143"/>
      <c r="P446" s="143"/>
      <c r="Q446" s="143"/>
      <c r="R446" s="143"/>
      <c r="S446" s="143"/>
      <c r="T446" s="143"/>
      <c r="U446" s="143"/>
      <c r="V446" s="143"/>
      <c r="W446" s="143"/>
      <c r="X446" s="143"/>
      <c r="Y446" s="143"/>
      <c r="Z446" s="143"/>
      <c r="AA446" s="143"/>
      <c r="AB446" s="104"/>
      <c r="AC446" s="104"/>
      <c r="AD446" s="104"/>
    </row>
    <row r="447" spans="1:30" ht="14.25">
      <c r="A447" s="143"/>
      <c r="B447" s="191"/>
      <c r="C447" s="143"/>
      <c r="D447" s="191"/>
      <c r="E447" s="191"/>
      <c r="F447" s="192"/>
      <c r="G447" s="191"/>
      <c r="H447" s="191"/>
      <c r="I447" s="143"/>
      <c r="J447" s="143"/>
      <c r="K447" s="143"/>
      <c r="L447" s="143"/>
      <c r="M447" s="191"/>
      <c r="N447" s="143"/>
      <c r="O447" s="143"/>
      <c r="P447" s="143"/>
      <c r="Q447" s="143"/>
      <c r="R447" s="143"/>
      <c r="S447" s="143"/>
      <c r="T447" s="143"/>
      <c r="U447" s="143"/>
      <c r="V447" s="143"/>
      <c r="W447" s="143"/>
      <c r="X447" s="143"/>
      <c r="Y447" s="143"/>
      <c r="Z447" s="143"/>
      <c r="AA447" s="143"/>
      <c r="AB447" s="104"/>
      <c r="AC447" s="104"/>
      <c r="AD447" s="104"/>
    </row>
    <row r="448" spans="1:30" ht="14.25">
      <c r="A448" s="143"/>
      <c r="B448" s="191"/>
      <c r="C448" s="143"/>
      <c r="D448" s="191"/>
      <c r="E448" s="191"/>
      <c r="F448" s="192"/>
      <c r="G448" s="191"/>
      <c r="H448" s="191"/>
      <c r="I448" s="143"/>
      <c r="J448" s="143"/>
      <c r="K448" s="143"/>
      <c r="L448" s="143"/>
      <c r="M448" s="191"/>
      <c r="N448" s="143"/>
      <c r="O448" s="143"/>
      <c r="P448" s="143"/>
      <c r="Q448" s="143"/>
      <c r="R448" s="143"/>
      <c r="S448" s="143"/>
      <c r="T448" s="143"/>
      <c r="U448" s="143"/>
      <c r="V448" s="143"/>
      <c r="W448" s="143"/>
      <c r="X448" s="143"/>
      <c r="Y448" s="143"/>
      <c r="Z448" s="143"/>
      <c r="AA448" s="143"/>
      <c r="AB448" s="104"/>
      <c r="AC448" s="104"/>
      <c r="AD448" s="104"/>
    </row>
    <row r="449" spans="1:30" ht="14.25">
      <c r="A449" s="143"/>
      <c r="B449" s="191"/>
      <c r="C449" s="143"/>
      <c r="D449" s="191"/>
      <c r="E449" s="191"/>
      <c r="F449" s="192"/>
      <c r="G449" s="191"/>
      <c r="H449" s="191"/>
      <c r="I449" s="143"/>
      <c r="J449" s="143"/>
      <c r="K449" s="143"/>
      <c r="L449" s="143"/>
      <c r="M449" s="191"/>
      <c r="N449" s="143"/>
      <c r="O449" s="143"/>
      <c r="P449" s="143"/>
      <c r="Q449" s="143"/>
      <c r="R449" s="143"/>
      <c r="S449" s="143"/>
      <c r="T449" s="143"/>
      <c r="U449" s="143"/>
      <c r="V449" s="143"/>
      <c r="W449" s="143"/>
      <c r="X449" s="143"/>
      <c r="Y449" s="143"/>
      <c r="Z449" s="143"/>
      <c r="AA449" s="143"/>
      <c r="AB449" s="104"/>
      <c r="AC449" s="104"/>
      <c r="AD449" s="104"/>
    </row>
    <row r="450" spans="1:30" ht="14.25">
      <c r="A450" s="143"/>
      <c r="B450" s="191"/>
      <c r="C450" s="143"/>
      <c r="D450" s="191"/>
      <c r="E450" s="191"/>
      <c r="F450" s="192"/>
      <c r="G450" s="191"/>
      <c r="H450" s="191"/>
      <c r="I450" s="143"/>
      <c r="J450" s="143"/>
      <c r="K450" s="143"/>
      <c r="L450" s="143"/>
      <c r="M450" s="191"/>
      <c r="N450" s="143"/>
      <c r="O450" s="143"/>
      <c r="P450" s="143"/>
      <c r="Q450" s="143"/>
      <c r="R450" s="143"/>
      <c r="S450" s="143"/>
      <c r="T450" s="143"/>
      <c r="U450" s="143"/>
      <c r="V450" s="143"/>
      <c r="W450" s="143"/>
      <c r="X450" s="143"/>
      <c r="Y450" s="143"/>
      <c r="Z450" s="143"/>
      <c r="AA450" s="143"/>
      <c r="AB450" s="104"/>
      <c r="AC450" s="104"/>
      <c r="AD450" s="104"/>
    </row>
    <row r="451" spans="1:30" ht="14.25">
      <c r="A451" s="143"/>
      <c r="B451" s="191"/>
      <c r="C451" s="143"/>
      <c r="D451" s="191"/>
      <c r="E451" s="191"/>
      <c r="F451" s="192"/>
      <c r="G451" s="191"/>
      <c r="H451" s="191"/>
      <c r="I451" s="143"/>
      <c r="J451" s="143"/>
      <c r="K451" s="143"/>
      <c r="L451" s="143"/>
      <c r="M451" s="191"/>
      <c r="N451" s="143"/>
      <c r="O451" s="143"/>
      <c r="P451" s="143"/>
      <c r="Q451" s="143"/>
      <c r="R451" s="143"/>
      <c r="S451" s="143"/>
      <c r="T451" s="143"/>
      <c r="U451" s="143"/>
      <c r="V451" s="143"/>
      <c r="W451" s="143"/>
      <c r="X451" s="143"/>
      <c r="Y451" s="143"/>
      <c r="Z451" s="143"/>
      <c r="AA451" s="143"/>
      <c r="AB451" s="104"/>
      <c r="AC451" s="104"/>
      <c r="AD451" s="104"/>
    </row>
    <row r="452" spans="1:30" ht="14.25">
      <c r="A452" s="143"/>
      <c r="B452" s="191"/>
      <c r="C452" s="143"/>
      <c r="D452" s="191"/>
      <c r="E452" s="191"/>
      <c r="F452" s="192"/>
      <c r="G452" s="191"/>
      <c r="H452" s="191"/>
      <c r="I452" s="143"/>
      <c r="J452" s="143"/>
      <c r="K452" s="143"/>
      <c r="L452" s="143"/>
      <c r="M452" s="191"/>
      <c r="N452" s="143"/>
      <c r="O452" s="143"/>
      <c r="P452" s="143"/>
      <c r="Q452" s="143"/>
      <c r="R452" s="143"/>
      <c r="S452" s="143"/>
      <c r="T452" s="143"/>
      <c r="U452" s="143"/>
      <c r="V452" s="143"/>
      <c r="W452" s="143"/>
      <c r="X452" s="143"/>
      <c r="Y452" s="143"/>
      <c r="Z452" s="143"/>
      <c r="AA452" s="143"/>
      <c r="AB452" s="104"/>
      <c r="AC452" s="104"/>
      <c r="AD452" s="104"/>
    </row>
    <row r="453" spans="1:30" ht="14.25">
      <c r="A453" s="143"/>
      <c r="B453" s="191"/>
      <c r="C453" s="143"/>
      <c r="D453" s="191"/>
      <c r="E453" s="191"/>
      <c r="F453" s="192"/>
      <c r="G453" s="191"/>
      <c r="H453" s="191"/>
      <c r="I453" s="143"/>
      <c r="J453" s="143"/>
      <c r="K453" s="143"/>
      <c r="L453" s="143"/>
      <c r="M453" s="191"/>
      <c r="N453" s="143"/>
      <c r="O453" s="143"/>
      <c r="P453" s="143"/>
      <c r="Q453" s="143"/>
      <c r="R453" s="143"/>
      <c r="S453" s="143"/>
      <c r="T453" s="143"/>
      <c r="U453" s="143"/>
      <c r="V453" s="143"/>
      <c r="W453" s="143"/>
      <c r="X453" s="143"/>
      <c r="Y453" s="143"/>
      <c r="Z453" s="143"/>
      <c r="AA453" s="143"/>
      <c r="AB453" s="104"/>
      <c r="AC453" s="104"/>
      <c r="AD453" s="104"/>
    </row>
    <row r="454" spans="1:30" ht="14.25">
      <c r="A454" s="143"/>
      <c r="B454" s="191"/>
      <c r="C454" s="143"/>
      <c r="D454" s="191"/>
      <c r="E454" s="191"/>
      <c r="F454" s="192"/>
      <c r="G454" s="191"/>
      <c r="H454" s="191"/>
      <c r="I454" s="143"/>
      <c r="J454" s="143"/>
      <c r="K454" s="143"/>
      <c r="L454" s="143"/>
      <c r="M454" s="191"/>
      <c r="N454" s="143"/>
      <c r="O454" s="143"/>
      <c r="P454" s="143"/>
      <c r="Q454" s="143"/>
      <c r="R454" s="143"/>
      <c r="S454" s="143"/>
      <c r="T454" s="143"/>
      <c r="U454" s="143"/>
      <c r="V454" s="143"/>
      <c r="W454" s="143"/>
      <c r="X454" s="143"/>
      <c r="Y454" s="143"/>
      <c r="Z454" s="143"/>
      <c r="AA454" s="143"/>
      <c r="AB454" s="104"/>
      <c r="AC454" s="104"/>
      <c r="AD454" s="104"/>
    </row>
    <row r="455" spans="1:30" ht="14.25">
      <c r="A455" s="143"/>
      <c r="B455" s="191"/>
      <c r="C455" s="143"/>
      <c r="D455" s="191"/>
      <c r="E455" s="191"/>
      <c r="F455" s="192"/>
      <c r="G455" s="191"/>
      <c r="H455" s="191"/>
      <c r="I455" s="143"/>
      <c r="J455" s="143"/>
      <c r="K455" s="143"/>
      <c r="L455" s="143"/>
      <c r="M455" s="191"/>
      <c r="N455" s="143"/>
      <c r="O455" s="143"/>
      <c r="P455" s="143"/>
      <c r="Q455" s="143"/>
      <c r="R455" s="143"/>
      <c r="S455" s="143"/>
      <c r="T455" s="143"/>
      <c r="U455" s="143"/>
      <c r="V455" s="143"/>
      <c r="W455" s="143"/>
      <c r="X455" s="143"/>
      <c r="Y455" s="143"/>
      <c r="Z455" s="143"/>
      <c r="AA455" s="143"/>
      <c r="AB455" s="104"/>
      <c r="AC455" s="104"/>
      <c r="AD455" s="104"/>
    </row>
    <row r="456" spans="1:30" ht="14.25">
      <c r="A456" s="143"/>
      <c r="B456" s="191"/>
      <c r="C456" s="143"/>
      <c r="D456" s="191"/>
      <c r="E456" s="191"/>
      <c r="F456" s="192"/>
      <c r="G456" s="191"/>
      <c r="H456" s="191"/>
      <c r="I456" s="143"/>
      <c r="J456" s="143"/>
      <c r="K456" s="143"/>
      <c r="L456" s="143"/>
      <c r="M456" s="191"/>
      <c r="N456" s="143"/>
      <c r="O456" s="143"/>
      <c r="P456" s="143"/>
      <c r="Q456" s="143"/>
      <c r="R456" s="143"/>
      <c r="S456" s="143"/>
      <c r="T456" s="143"/>
      <c r="U456" s="143"/>
      <c r="V456" s="143"/>
      <c r="W456" s="143"/>
      <c r="X456" s="143"/>
      <c r="Y456" s="143"/>
      <c r="Z456" s="143"/>
      <c r="AA456" s="143"/>
      <c r="AB456" s="104"/>
      <c r="AC456" s="104"/>
      <c r="AD456" s="104"/>
    </row>
    <row r="457" spans="1:30" ht="14.25">
      <c r="A457" s="143"/>
      <c r="B457" s="191"/>
      <c r="C457" s="143"/>
      <c r="D457" s="191"/>
      <c r="E457" s="191"/>
      <c r="F457" s="192"/>
      <c r="G457" s="191"/>
      <c r="H457" s="191"/>
      <c r="I457" s="143"/>
      <c r="J457" s="143"/>
      <c r="K457" s="143"/>
      <c r="L457" s="143"/>
      <c r="M457" s="191"/>
      <c r="N457" s="143"/>
      <c r="O457" s="143"/>
      <c r="P457" s="143"/>
      <c r="Q457" s="143"/>
      <c r="R457" s="143"/>
      <c r="S457" s="143"/>
      <c r="T457" s="143"/>
      <c r="U457" s="143"/>
      <c r="V457" s="143"/>
      <c r="W457" s="143"/>
      <c r="X457" s="143"/>
      <c r="Y457" s="143"/>
      <c r="Z457" s="143"/>
      <c r="AA457" s="143"/>
      <c r="AB457" s="104"/>
      <c r="AC457" s="104"/>
      <c r="AD457" s="104"/>
    </row>
    <row r="458" spans="1:30" ht="14.25">
      <c r="A458" s="143"/>
      <c r="B458" s="191"/>
      <c r="C458" s="143"/>
      <c r="D458" s="191"/>
      <c r="E458" s="191"/>
      <c r="F458" s="192"/>
      <c r="G458" s="191"/>
      <c r="H458" s="191"/>
      <c r="I458" s="143"/>
      <c r="J458" s="143"/>
      <c r="K458" s="143"/>
      <c r="L458" s="143"/>
      <c r="M458" s="191"/>
      <c r="N458" s="143"/>
      <c r="O458" s="143"/>
      <c r="P458" s="143"/>
      <c r="Q458" s="143"/>
      <c r="R458" s="143"/>
      <c r="S458" s="143"/>
      <c r="T458" s="143"/>
      <c r="U458" s="143"/>
      <c r="V458" s="143"/>
      <c r="W458" s="143"/>
      <c r="X458" s="143"/>
      <c r="Y458" s="143"/>
      <c r="Z458" s="143"/>
      <c r="AA458" s="143"/>
      <c r="AB458" s="104"/>
      <c r="AC458" s="104"/>
      <c r="AD458" s="104"/>
    </row>
    <row r="459" spans="1:30" ht="14.25">
      <c r="A459" s="143"/>
      <c r="B459" s="191"/>
      <c r="C459" s="143"/>
      <c r="D459" s="191"/>
      <c r="E459" s="191"/>
      <c r="F459" s="192"/>
      <c r="G459" s="191"/>
      <c r="H459" s="191"/>
      <c r="I459" s="143"/>
      <c r="J459" s="143"/>
      <c r="K459" s="143"/>
      <c r="L459" s="143"/>
      <c r="M459" s="191"/>
      <c r="N459" s="143"/>
      <c r="O459" s="143"/>
      <c r="P459" s="143"/>
      <c r="Q459" s="143"/>
      <c r="R459" s="143"/>
      <c r="S459" s="143"/>
      <c r="T459" s="143"/>
      <c r="U459" s="143"/>
      <c r="V459" s="143"/>
      <c r="W459" s="143"/>
      <c r="X459" s="143"/>
      <c r="Y459" s="143"/>
      <c r="Z459" s="143"/>
      <c r="AA459" s="143"/>
      <c r="AB459" s="104"/>
      <c r="AC459" s="104"/>
      <c r="AD459" s="104"/>
    </row>
    <row r="460" spans="1:30" ht="14.25">
      <c r="A460" s="143"/>
      <c r="B460" s="191"/>
      <c r="C460" s="143"/>
      <c r="D460" s="191"/>
      <c r="E460" s="191"/>
      <c r="F460" s="192"/>
      <c r="G460" s="191"/>
      <c r="H460" s="191"/>
      <c r="I460" s="143"/>
      <c r="J460" s="143"/>
      <c r="K460" s="143"/>
      <c r="L460" s="143"/>
      <c r="M460" s="191"/>
      <c r="N460" s="143"/>
      <c r="O460" s="143"/>
      <c r="P460" s="143"/>
      <c r="Q460" s="143"/>
      <c r="R460" s="143"/>
      <c r="S460" s="143"/>
      <c r="T460" s="143"/>
      <c r="U460" s="143"/>
      <c r="V460" s="143"/>
      <c r="W460" s="143"/>
      <c r="X460" s="143"/>
      <c r="Y460" s="143"/>
      <c r="Z460" s="143"/>
      <c r="AA460" s="143"/>
      <c r="AB460" s="104"/>
      <c r="AC460" s="104"/>
      <c r="AD460" s="104"/>
    </row>
    <row r="461" spans="1:30" ht="14.25">
      <c r="A461" s="143"/>
      <c r="B461" s="191"/>
      <c r="C461" s="143"/>
      <c r="D461" s="191"/>
      <c r="E461" s="191"/>
      <c r="F461" s="192"/>
      <c r="G461" s="191"/>
      <c r="H461" s="191"/>
      <c r="I461" s="143"/>
      <c r="J461" s="143"/>
      <c r="K461" s="143"/>
      <c r="L461" s="143"/>
      <c r="M461" s="191"/>
      <c r="N461" s="143"/>
      <c r="O461" s="143"/>
      <c r="P461" s="143"/>
      <c r="Q461" s="143"/>
      <c r="R461" s="143"/>
      <c r="S461" s="143"/>
      <c r="T461" s="143"/>
      <c r="U461" s="143"/>
      <c r="V461" s="143"/>
      <c r="W461" s="143"/>
      <c r="X461" s="143"/>
      <c r="Y461" s="143"/>
      <c r="Z461" s="143"/>
      <c r="AA461" s="143"/>
      <c r="AB461" s="104"/>
      <c r="AC461" s="104"/>
      <c r="AD461" s="104"/>
    </row>
    <row r="462" spans="1:30" ht="14.25">
      <c r="A462" s="143"/>
      <c r="B462" s="191"/>
      <c r="C462" s="143"/>
      <c r="D462" s="191"/>
      <c r="E462" s="191"/>
      <c r="F462" s="192"/>
      <c r="G462" s="191"/>
      <c r="H462" s="191"/>
      <c r="I462" s="143"/>
      <c r="J462" s="143"/>
      <c r="K462" s="143"/>
      <c r="L462" s="143"/>
      <c r="M462" s="191"/>
      <c r="N462" s="143"/>
      <c r="O462" s="143"/>
      <c r="P462" s="143"/>
      <c r="Q462" s="143"/>
      <c r="R462" s="143"/>
      <c r="S462" s="143"/>
      <c r="T462" s="143"/>
      <c r="U462" s="143"/>
      <c r="V462" s="143"/>
      <c r="W462" s="143"/>
      <c r="X462" s="143"/>
      <c r="Y462" s="143"/>
      <c r="Z462" s="143"/>
      <c r="AA462" s="143"/>
      <c r="AB462" s="104"/>
      <c r="AC462" s="104"/>
      <c r="AD462" s="104"/>
    </row>
    <row r="463" spans="1:30" ht="14.25">
      <c r="A463" s="143"/>
      <c r="B463" s="191"/>
      <c r="C463" s="143"/>
      <c r="D463" s="191"/>
      <c r="E463" s="191"/>
      <c r="F463" s="192"/>
      <c r="G463" s="191"/>
      <c r="H463" s="191"/>
      <c r="I463" s="143"/>
      <c r="J463" s="143"/>
      <c r="K463" s="143"/>
      <c r="L463" s="143"/>
      <c r="M463" s="191"/>
      <c r="N463" s="143"/>
      <c r="O463" s="143"/>
      <c r="P463" s="143"/>
      <c r="Q463" s="143"/>
      <c r="R463" s="143"/>
      <c r="S463" s="143"/>
      <c r="T463" s="143"/>
      <c r="U463" s="143"/>
      <c r="V463" s="143"/>
      <c r="W463" s="143"/>
      <c r="X463" s="143"/>
      <c r="Y463" s="143"/>
      <c r="Z463" s="143"/>
      <c r="AA463" s="143"/>
      <c r="AB463" s="104"/>
      <c r="AC463" s="104"/>
      <c r="AD463" s="104"/>
    </row>
    <row r="464" spans="1:30" ht="14.25">
      <c r="A464" s="143"/>
      <c r="B464" s="191"/>
      <c r="C464" s="143"/>
      <c r="D464" s="191"/>
      <c r="E464" s="191"/>
      <c r="F464" s="192"/>
      <c r="G464" s="191"/>
      <c r="H464" s="191"/>
      <c r="I464" s="143"/>
      <c r="J464" s="143"/>
      <c r="K464" s="143"/>
      <c r="L464" s="143"/>
      <c r="M464" s="191"/>
      <c r="N464" s="143"/>
      <c r="O464" s="143"/>
      <c r="P464" s="143"/>
      <c r="Q464" s="143"/>
      <c r="R464" s="143"/>
      <c r="S464" s="143"/>
      <c r="T464" s="143"/>
      <c r="U464" s="143"/>
      <c r="V464" s="143"/>
      <c r="W464" s="143"/>
      <c r="X464" s="143"/>
      <c r="Y464" s="143"/>
      <c r="Z464" s="143"/>
      <c r="AA464" s="143"/>
      <c r="AB464" s="104"/>
      <c r="AC464" s="104"/>
      <c r="AD464" s="104"/>
    </row>
    <row r="465" spans="1:30" ht="14.25">
      <c r="A465" s="143"/>
      <c r="B465" s="191"/>
      <c r="C465" s="143"/>
      <c r="D465" s="191"/>
      <c r="E465" s="191"/>
      <c r="F465" s="192"/>
      <c r="G465" s="191"/>
      <c r="H465" s="191"/>
      <c r="I465" s="143"/>
      <c r="J465" s="143"/>
      <c r="K465" s="143"/>
      <c r="L465" s="143"/>
      <c r="M465" s="191"/>
      <c r="N465" s="143"/>
      <c r="O465" s="143"/>
      <c r="P465" s="143"/>
      <c r="Q465" s="143"/>
      <c r="R465" s="143"/>
      <c r="S465" s="143"/>
      <c r="T465" s="143"/>
      <c r="U465" s="143"/>
      <c r="V465" s="143"/>
      <c r="W465" s="143"/>
      <c r="X465" s="143"/>
      <c r="Y465" s="143"/>
      <c r="Z465" s="143"/>
      <c r="AA465" s="143"/>
      <c r="AB465" s="104"/>
      <c r="AC465" s="104"/>
      <c r="AD465" s="104"/>
    </row>
    <row r="466" spans="1:30" ht="14.25">
      <c r="A466" s="143"/>
      <c r="B466" s="191"/>
      <c r="C466" s="143"/>
      <c r="D466" s="191"/>
      <c r="E466" s="191"/>
      <c r="F466" s="192"/>
      <c r="G466" s="191"/>
      <c r="H466" s="191"/>
      <c r="I466" s="143"/>
      <c r="J466" s="143"/>
      <c r="K466" s="143"/>
      <c r="L466" s="143"/>
      <c r="M466" s="191"/>
      <c r="N466" s="143"/>
      <c r="O466" s="143"/>
      <c r="P466" s="143"/>
      <c r="Q466" s="143"/>
      <c r="R466" s="143"/>
      <c r="S466" s="143"/>
      <c r="T466" s="143"/>
      <c r="U466" s="143"/>
      <c r="V466" s="143"/>
      <c r="W466" s="143"/>
      <c r="X466" s="143"/>
      <c r="Y466" s="143"/>
      <c r="Z466" s="143"/>
      <c r="AA466" s="143"/>
      <c r="AB466" s="104"/>
      <c r="AC466" s="104"/>
      <c r="AD466" s="104"/>
    </row>
    <row r="467" spans="1:30" ht="14.25">
      <c r="A467" s="143"/>
      <c r="B467" s="191"/>
      <c r="C467" s="143"/>
      <c r="D467" s="191"/>
      <c r="E467" s="191"/>
      <c r="F467" s="192"/>
      <c r="G467" s="191"/>
      <c r="H467" s="191"/>
      <c r="I467" s="143"/>
      <c r="J467" s="143"/>
      <c r="K467" s="143"/>
      <c r="L467" s="143"/>
      <c r="M467" s="191"/>
      <c r="N467" s="143"/>
      <c r="O467" s="143"/>
      <c r="P467" s="143"/>
      <c r="Q467" s="143"/>
      <c r="R467" s="143"/>
      <c r="S467" s="143"/>
      <c r="T467" s="143"/>
      <c r="U467" s="143"/>
      <c r="V467" s="143"/>
      <c r="W467" s="143"/>
      <c r="X467" s="143"/>
      <c r="Y467" s="143"/>
      <c r="Z467" s="143"/>
      <c r="AA467" s="143"/>
      <c r="AB467" s="104"/>
      <c r="AC467" s="104"/>
      <c r="AD467" s="104"/>
    </row>
    <row r="468" spans="1:30" ht="14.25">
      <c r="A468" s="143"/>
      <c r="B468" s="191"/>
      <c r="C468" s="143"/>
      <c r="D468" s="191"/>
      <c r="E468" s="191"/>
      <c r="F468" s="192"/>
      <c r="G468" s="191"/>
      <c r="H468" s="191"/>
      <c r="I468" s="143"/>
      <c r="J468" s="143"/>
      <c r="K468" s="143"/>
      <c r="L468" s="143"/>
      <c r="M468" s="191"/>
      <c r="N468" s="143"/>
      <c r="O468" s="143"/>
      <c r="P468" s="143"/>
      <c r="Q468" s="143"/>
      <c r="R468" s="143"/>
      <c r="S468" s="143"/>
      <c r="T468" s="143"/>
      <c r="U468" s="143"/>
      <c r="V468" s="143"/>
      <c r="W468" s="143"/>
      <c r="X468" s="143"/>
      <c r="Y468" s="143"/>
      <c r="Z468" s="143"/>
      <c r="AA468" s="143"/>
      <c r="AB468" s="104"/>
      <c r="AC468" s="104"/>
      <c r="AD468" s="104"/>
    </row>
    <row r="469" spans="1:30" ht="14.25">
      <c r="A469" s="143"/>
      <c r="B469" s="191"/>
      <c r="C469" s="143"/>
      <c r="D469" s="191"/>
      <c r="E469" s="191"/>
      <c r="F469" s="192"/>
      <c r="G469" s="191"/>
      <c r="H469" s="191"/>
      <c r="I469" s="143"/>
      <c r="J469" s="143"/>
      <c r="K469" s="143"/>
      <c r="L469" s="143"/>
      <c r="M469" s="191"/>
      <c r="N469" s="143"/>
      <c r="O469" s="143"/>
      <c r="P469" s="143"/>
      <c r="Q469" s="143"/>
      <c r="R469" s="143"/>
      <c r="S469" s="143"/>
      <c r="T469" s="143"/>
      <c r="U469" s="143"/>
      <c r="V469" s="143"/>
      <c r="W469" s="143"/>
      <c r="X469" s="143"/>
      <c r="Y469" s="143"/>
      <c r="Z469" s="143"/>
      <c r="AA469" s="143"/>
      <c r="AB469" s="104"/>
      <c r="AC469" s="104"/>
      <c r="AD469" s="104"/>
    </row>
    <row r="470" spans="1:30" ht="14.25">
      <c r="A470" s="143"/>
      <c r="B470" s="191"/>
      <c r="C470" s="143"/>
      <c r="D470" s="191"/>
      <c r="E470" s="191"/>
      <c r="F470" s="192"/>
      <c r="G470" s="191"/>
      <c r="H470" s="191"/>
      <c r="I470" s="143"/>
      <c r="J470" s="143"/>
      <c r="K470" s="143"/>
      <c r="L470" s="143"/>
      <c r="M470" s="191"/>
      <c r="N470" s="143"/>
      <c r="O470" s="143"/>
      <c r="P470" s="143"/>
      <c r="Q470" s="143"/>
      <c r="R470" s="143"/>
      <c r="S470" s="143"/>
      <c r="T470" s="143"/>
      <c r="U470" s="143"/>
      <c r="V470" s="143"/>
      <c r="W470" s="143"/>
      <c r="X470" s="143"/>
      <c r="Y470" s="143"/>
      <c r="Z470" s="143"/>
      <c r="AA470" s="143"/>
      <c r="AB470" s="104"/>
      <c r="AC470" s="104"/>
      <c r="AD470" s="104"/>
    </row>
    <row r="471" spans="1:30" ht="14.25">
      <c r="A471" s="143"/>
      <c r="B471" s="191"/>
      <c r="C471" s="143"/>
      <c r="D471" s="191"/>
      <c r="E471" s="191"/>
      <c r="F471" s="192"/>
      <c r="G471" s="191"/>
      <c r="H471" s="191"/>
      <c r="I471" s="143"/>
      <c r="J471" s="143"/>
      <c r="K471" s="143"/>
      <c r="L471" s="143"/>
      <c r="M471" s="191"/>
      <c r="N471" s="143"/>
      <c r="O471" s="143"/>
      <c r="P471" s="143"/>
      <c r="Q471" s="143"/>
      <c r="R471" s="143"/>
      <c r="S471" s="143"/>
      <c r="T471" s="143"/>
      <c r="U471" s="143"/>
      <c r="V471" s="143"/>
      <c r="W471" s="143"/>
      <c r="X471" s="143"/>
      <c r="Y471" s="143"/>
      <c r="Z471" s="143"/>
      <c r="AA471" s="143"/>
      <c r="AB471" s="104"/>
      <c r="AC471" s="104"/>
      <c r="AD471" s="104"/>
    </row>
    <row r="472" spans="1:30" ht="14.25">
      <c r="A472" s="143"/>
      <c r="B472" s="191"/>
      <c r="C472" s="143"/>
      <c r="D472" s="191"/>
      <c r="E472" s="191"/>
      <c r="F472" s="192"/>
      <c r="G472" s="191"/>
      <c r="H472" s="191"/>
      <c r="I472" s="143"/>
      <c r="J472" s="143"/>
      <c r="K472" s="143"/>
      <c r="L472" s="143"/>
      <c r="M472" s="191"/>
      <c r="N472" s="143"/>
      <c r="O472" s="143"/>
      <c r="P472" s="143"/>
      <c r="Q472" s="143"/>
      <c r="R472" s="143"/>
      <c r="S472" s="143"/>
      <c r="T472" s="143"/>
      <c r="U472" s="143"/>
      <c r="V472" s="143"/>
      <c r="W472" s="143"/>
      <c r="X472" s="143"/>
      <c r="Y472" s="143"/>
      <c r="Z472" s="143"/>
      <c r="AA472" s="143"/>
      <c r="AB472" s="104"/>
      <c r="AC472" s="104"/>
      <c r="AD472" s="104"/>
    </row>
    <row r="473" spans="1:30" ht="14.25">
      <c r="A473" s="143"/>
      <c r="B473" s="191"/>
      <c r="C473" s="143"/>
      <c r="D473" s="191"/>
      <c r="E473" s="191"/>
      <c r="F473" s="192"/>
      <c r="G473" s="191"/>
      <c r="H473" s="191"/>
      <c r="I473" s="143"/>
      <c r="J473" s="143"/>
      <c r="K473" s="143"/>
      <c r="L473" s="143"/>
      <c r="M473" s="191"/>
      <c r="N473" s="143"/>
      <c r="O473" s="143"/>
      <c r="P473" s="143"/>
      <c r="Q473" s="143"/>
      <c r="R473" s="143"/>
      <c r="S473" s="143"/>
      <c r="T473" s="143"/>
      <c r="U473" s="143"/>
      <c r="V473" s="143"/>
      <c r="W473" s="143"/>
      <c r="X473" s="143"/>
      <c r="Y473" s="143"/>
      <c r="Z473" s="143"/>
      <c r="AA473" s="143"/>
      <c r="AB473" s="104"/>
      <c r="AC473" s="104"/>
      <c r="AD473" s="104"/>
    </row>
    <row r="474" spans="1:30" ht="14.25">
      <c r="A474" s="143"/>
      <c r="B474" s="191"/>
      <c r="C474" s="143"/>
      <c r="D474" s="191"/>
      <c r="E474" s="191"/>
      <c r="F474" s="192"/>
      <c r="G474" s="191"/>
      <c r="H474" s="191"/>
      <c r="I474" s="143"/>
      <c r="J474" s="143"/>
      <c r="K474" s="143"/>
      <c r="L474" s="143"/>
      <c r="M474" s="191"/>
      <c r="N474" s="143"/>
      <c r="O474" s="143"/>
      <c r="P474" s="143"/>
      <c r="Q474" s="143"/>
      <c r="R474" s="143"/>
      <c r="S474" s="143"/>
      <c r="T474" s="143"/>
      <c r="U474" s="143"/>
      <c r="V474" s="143"/>
      <c r="W474" s="143"/>
      <c r="X474" s="143"/>
      <c r="Y474" s="143"/>
      <c r="Z474" s="143"/>
      <c r="AA474" s="143"/>
      <c r="AB474" s="104"/>
      <c r="AC474" s="104"/>
      <c r="AD474" s="104"/>
    </row>
    <row r="475" spans="1:30" ht="14.25">
      <c r="A475" s="143"/>
      <c r="B475" s="191"/>
      <c r="C475" s="143"/>
      <c r="D475" s="191"/>
      <c r="E475" s="191"/>
      <c r="F475" s="192"/>
      <c r="G475" s="191"/>
      <c r="H475" s="191"/>
      <c r="I475" s="143"/>
      <c r="J475" s="143"/>
      <c r="K475" s="143"/>
      <c r="L475" s="143"/>
      <c r="M475" s="191"/>
      <c r="N475" s="143"/>
      <c r="O475" s="143"/>
      <c r="P475" s="143"/>
      <c r="Q475" s="143"/>
      <c r="R475" s="143"/>
      <c r="S475" s="143"/>
      <c r="T475" s="143"/>
      <c r="U475" s="143"/>
      <c r="V475" s="143"/>
      <c r="W475" s="143"/>
      <c r="X475" s="143"/>
      <c r="Y475" s="143"/>
      <c r="Z475" s="143"/>
      <c r="AA475" s="143"/>
      <c r="AB475" s="104"/>
      <c r="AC475" s="104"/>
      <c r="AD475" s="104"/>
    </row>
    <row r="476" spans="1:30" ht="14.25">
      <c r="A476" s="143"/>
      <c r="B476" s="191"/>
      <c r="C476" s="143"/>
      <c r="D476" s="191"/>
      <c r="E476" s="191"/>
      <c r="F476" s="192"/>
      <c r="G476" s="191"/>
      <c r="H476" s="191"/>
      <c r="I476" s="143"/>
      <c r="J476" s="143"/>
      <c r="K476" s="143"/>
      <c r="L476" s="143"/>
      <c r="M476" s="191"/>
      <c r="N476" s="143"/>
      <c r="O476" s="143"/>
      <c r="P476" s="143"/>
      <c r="Q476" s="143"/>
      <c r="R476" s="143"/>
      <c r="S476" s="143"/>
      <c r="T476" s="143"/>
      <c r="U476" s="143"/>
      <c r="V476" s="143"/>
      <c r="W476" s="143"/>
      <c r="X476" s="143"/>
      <c r="Y476" s="143"/>
      <c r="Z476" s="143"/>
      <c r="AA476" s="143"/>
      <c r="AB476" s="104"/>
      <c r="AC476" s="104"/>
      <c r="AD476" s="104"/>
    </row>
    <row r="477" spans="1:30" ht="14.25">
      <c r="A477" s="143"/>
      <c r="B477" s="191"/>
      <c r="C477" s="143"/>
      <c r="D477" s="191"/>
      <c r="E477" s="191"/>
      <c r="F477" s="192"/>
      <c r="G477" s="191"/>
      <c r="H477" s="191"/>
      <c r="I477" s="143"/>
      <c r="J477" s="143"/>
      <c r="K477" s="143"/>
      <c r="L477" s="143"/>
      <c r="M477" s="191"/>
      <c r="N477" s="143"/>
      <c r="O477" s="143"/>
      <c r="P477" s="143"/>
      <c r="Q477" s="143"/>
      <c r="R477" s="143"/>
      <c r="S477" s="143"/>
      <c r="T477" s="143"/>
      <c r="U477" s="143"/>
      <c r="V477" s="143"/>
      <c r="W477" s="143"/>
      <c r="X477" s="143"/>
      <c r="Y477" s="143"/>
      <c r="Z477" s="143"/>
      <c r="AA477" s="143"/>
      <c r="AB477" s="104"/>
      <c r="AC477" s="104"/>
      <c r="AD477" s="104"/>
    </row>
    <row r="478" spans="1:30" ht="14.25">
      <c r="A478" s="143"/>
      <c r="B478" s="191"/>
      <c r="C478" s="143"/>
      <c r="D478" s="191"/>
      <c r="E478" s="191"/>
      <c r="F478" s="192"/>
      <c r="G478" s="191"/>
      <c r="H478" s="191"/>
      <c r="I478" s="143"/>
      <c r="J478" s="143"/>
      <c r="K478" s="143"/>
      <c r="L478" s="143"/>
      <c r="M478" s="191"/>
      <c r="N478" s="143"/>
      <c r="O478" s="143"/>
      <c r="P478" s="143"/>
      <c r="Q478" s="143"/>
      <c r="R478" s="143"/>
      <c r="S478" s="143"/>
      <c r="T478" s="143"/>
      <c r="U478" s="143"/>
      <c r="V478" s="143"/>
      <c r="W478" s="143"/>
      <c r="X478" s="143"/>
      <c r="Y478" s="143"/>
      <c r="Z478" s="143"/>
      <c r="AA478" s="143"/>
      <c r="AB478" s="104"/>
      <c r="AC478" s="104"/>
      <c r="AD478" s="104"/>
    </row>
    <row r="479" spans="1:30" ht="14.25">
      <c r="A479" s="143"/>
      <c r="B479" s="191"/>
      <c r="C479" s="143"/>
      <c r="D479" s="191"/>
      <c r="E479" s="191"/>
      <c r="F479" s="192"/>
      <c r="G479" s="191"/>
      <c r="H479" s="191"/>
      <c r="I479" s="143"/>
      <c r="J479" s="143"/>
      <c r="K479" s="143"/>
      <c r="L479" s="143"/>
      <c r="M479" s="191"/>
      <c r="N479" s="143"/>
      <c r="O479" s="143"/>
      <c r="P479" s="143"/>
      <c r="Q479" s="143"/>
      <c r="R479" s="143"/>
      <c r="S479" s="143"/>
      <c r="T479" s="143"/>
      <c r="U479" s="143"/>
      <c r="V479" s="143"/>
      <c r="W479" s="143"/>
      <c r="X479" s="143"/>
      <c r="Y479" s="143"/>
      <c r="Z479" s="143"/>
      <c r="AA479" s="143"/>
      <c r="AB479" s="104"/>
      <c r="AC479" s="104"/>
      <c r="AD479" s="104"/>
    </row>
    <row r="480" spans="1:30" ht="14.25">
      <c r="A480" s="143"/>
      <c r="B480" s="191"/>
      <c r="C480" s="143"/>
      <c r="D480" s="191"/>
      <c r="E480" s="191"/>
      <c r="F480" s="192"/>
      <c r="G480" s="191"/>
      <c r="H480" s="191"/>
      <c r="I480" s="143"/>
      <c r="J480" s="143"/>
      <c r="K480" s="143"/>
      <c r="L480" s="143"/>
      <c r="M480" s="191"/>
      <c r="N480" s="143"/>
      <c r="O480" s="143"/>
      <c r="P480" s="143"/>
      <c r="Q480" s="143"/>
      <c r="R480" s="143"/>
      <c r="S480" s="143"/>
      <c r="T480" s="143"/>
      <c r="U480" s="143"/>
      <c r="V480" s="143"/>
      <c r="W480" s="143"/>
      <c r="X480" s="143"/>
      <c r="Y480" s="143"/>
      <c r="Z480" s="143"/>
      <c r="AA480" s="143"/>
      <c r="AB480" s="104"/>
      <c r="AC480" s="104"/>
      <c r="AD480" s="104"/>
    </row>
    <row r="481" spans="1:30" ht="14.25">
      <c r="A481" s="143"/>
      <c r="B481" s="191"/>
      <c r="C481" s="143"/>
      <c r="D481" s="191"/>
      <c r="E481" s="191"/>
      <c r="F481" s="192"/>
      <c r="G481" s="191"/>
      <c r="H481" s="191"/>
      <c r="I481" s="143"/>
      <c r="J481" s="143"/>
      <c r="K481" s="143"/>
      <c r="L481" s="143"/>
      <c r="M481" s="191"/>
      <c r="N481" s="143"/>
      <c r="O481" s="143"/>
      <c r="P481" s="143"/>
      <c r="Q481" s="143"/>
      <c r="R481" s="143"/>
      <c r="S481" s="143"/>
      <c r="T481" s="143"/>
      <c r="U481" s="143"/>
      <c r="V481" s="143"/>
      <c r="W481" s="143"/>
      <c r="X481" s="143"/>
      <c r="Y481" s="143"/>
      <c r="Z481" s="143"/>
      <c r="AA481" s="143"/>
      <c r="AB481" s="104"/>
      <c r="AC481" s="104"/>
      <c r="AD481" s="104"/>
    </row>
    <row r="482" spans="1:30" ht="14.25">
      <c r="A482" s="143"/>
      <c r="B482" s="191"/>
      <c r="C482" s="143"/>
      <c r="D482" s="191"/>
      <c r="E482" s="191"/>
      <c r="F482" s="192"/>
      <c r="G482" s="191"/>
      <c r="H482" s="191"/>
      <c r="I482" s="143"/>
      <c r="J482" s="143"/>
      <c r="K482" s="143"/>
      <c r="L482" s="143"/>
      <c r="M482" s="191"/>
      <c r="N482" s="143"/>
      <c r="O482" s="143"/>
      <c r="P482" s="143"/>
      <c r="Q482" s="143"/>
      <c r="R482" s="143"/>
      <c r="S482" s="143"/>
      <c r="T482" s="143"/>
      <c r="U482" s="143"/>
      <c r="V482" s="143"/>
      <c r="W482" s="143"/>
      <c r="X482" s="143"/>
      <c r="Y482" s="143"/>
      <c r="Z482" s="143"/>
      <c r="AA482" s="143"/>
      <c r="AB482" s="104"/>
      <c r="AC482" s="104"/>
      <c r="AD482" s="104"/>
    </row>
    <row r="483" spans="1:30" ht="14.25">
      <c r="A483" s="143"/>
      <c r="B483" s="191"/>
      <c r="C483" s="143"/>
      <c r="D483" s="191"/>
      <c r="E483" s="191"/>
      <c r="F483" s="192"/>
      <c r="G483" s="191"/>
      <c r="H483" s="191"/>
      <c r="I483" s="143"/>
      <c r="J483" s="143"/>
      <c r="K483" s="143"/>
      <c r="L483" s="143"/>
      <c r="M483" s="191"/>
      <c r="N483" s="143"/>
      <c r="O483" s="143"/>
      <c r="P483" s="143"/>
      <c r="Q483" s="143"/>
      <c r="R483" s="143"/>
      <c r="S483" s="143"/>
      <c r="T483" s="143"/>
      <c r="U483" s="143"/>
      <c r="V483" s="143"/>
      <c r="W483" s="143"/>
      <c r="X483" s="143"/>
      <c r="Y483" s="143"/>
      <c r="Z483" s="143"/>
      <c r="AA483" s="143"/>
      <c r="AB483" s="104"/>
      <c r="AC483" s="104"/>
      <c r="AD483" s="104"/>
    </row>
    <row r="484" spans="1:30" ht="14.25">
      <c r="A484" s="143"/>
      <c r="B484" s="191"/>
      <c r="C484" s="143"/>
      <c r="D484" s="191"/>
      <c r="E484" s="191"/>
      <c r="F484" s="192"/>
      <c r="G484" s="191"/>
      <c r="H484" s="191"/>
      <c r="I484" s="143"/>
      <c r="J484" s="143"/>
      <c r="K484" s="143"/>
      <c r="L484" s="143"/>
      <c r="M484" s="191"/>
      <c r="N484" s="143"/>
      <c r="O484" s="143"/>
      <c r="P484" s="143"/>
      <c r="Q484" s="143"/>
      <c r="R484" s="143"/>
      <c r="S484" s="143"/>
      <c r="T484" s="143"/>
      <c r="U484" s="143"/>
      <c r="V484" s="143"/>
      <c r="W484" s="143"/>
      <c r="X484" s="143"/>
      <c r="Y484" s="143"/>
      <c r="Z484" s="143"/>
      <c r="AA484" s="143"/>
      <c r="AB484" s="104"/>
      <c r="AC484" s="104"/>
      <c r="AD484" s="104"/>
    </row>
    <row r="485" spans="1:30" ht="14.25">
      <c r="A485" s="143"/>
      <c r="B485" s="191"/>
      <c r="C485" s="143"/>
      <c r="D485" s="191"/>
      <c r="E485" s="191"/>
      <c r="F485" s="192"/>
      <c r="G485" s="191"/>
      <c r="H485" s="191"/>
      <c r="I485" s="143"/>
      <c r="J485" s="143"/>
      <c r="K485" s="143"/>
      <c r="L485" s="143"/>
      <c r="M485" s="191"/>
      <c r="N485" s="143"/>
      <c r="O485" s="143"/>
      <c r="P485" s="143"/>
      <c r="Q485" s="143"/>
      <c r="R485" s="143"/>
      <c r="S485" s="143"/>
      <c r="T485" s="143"/>
      <c r="U485" s="143"/>
      <c r="V485" s="143"/>
      <c r="W485" s="143"/>
      <c r="X485" s="143"/>
      <c r="Y485" s="143"/>
      <c r="Z485" s="143"/>
      <c r="AA485" s="143"/>
      <c r="AB485" s="104"/>
      <c r="AC485" s="104"/>
      <c r="AD485" s="104"/>
    </row>
    <row r="486" spans="1:30" ht="14.25">
      <c r="A486" s="143"/>
      <c r="B486" s="191"/>
      <c r="C486" s="143"/>
      <c r="D486" s="191"/>
      <c r="E486" s="191"/>
      <c r="F486" s="192"/>
      <c r="G486" s="191"/>
      <c r="H486" s="191"/>
      <c r="I486" s="143"/>
      <c r="J486" s="143"/>
      <c r="K486" s="143"/>
      <c r="L486" s="143"/>
      <c r="M486" s="191"/>
      <c r="N486" s="143"/>
      <c r="O486" s="143"/>
      <c r="P486" s="143"/>
      <c r="Q486" s="143"/>
      <c r="R486" s="143"/>
      <c r="S486" s="143"/>
      <c r="T486" s="143"/>
      <c r="U486" s="143"/>
      <c r="V486" s="143"/>
      <c r="W486" s="143"/>
      <c r="X486" s="143"/>
      <c r="Y486" s="143"/>
      <c r="Z486" s="143"/>
      <c r="AA486" s="143"/>
      <c r="AB486" s="104"/>
      <c r="AC486" s="104"/>
      <c r="AD486" s="104"/>
    </row>
    <row r="487" spans="1:30" ht="14.25">
      <c r="A487" s="143"/>
      <c r="B487" s="191"/>
      <c r="C487" s="143"/>
      <c r="D487" s="191"/>
      <c r="E487" s="191"/>
      <c r="F487" s="192"/>
      <c r="G487" s="191"/>
      <c r="H487" s="191"/>
      <c r="I487" s="143"/>
      <c r="J487" s="143"/>
      <c r="K487" s="143"/>
      <c r="L487" s="143"/>
      <c r="M487" s="191"/>
      <c r="N487" s="143"/>
      <c r="O487" s="143"/>
      <c r="P487" s="143"/>
      <c r="Q487" s="143"/>
      <c r="R487" s="143"/>
      <c r="S487" s="143"/>
      <c r="T487" s="143"/>
      <c r="U487" s="143"/>
      <c r="V487" s="143"/>
      <c r="W487" s="143"/>
      <c r="X487" s="143"/>
      <c r="Y487" s="143"/>
      <c r="Z487" s="143"/>
      <c r="AA487" s="143"/>
      <c r="AB487" s="104"/>
      <c r="AC487" s="104"/>
      <c r="AD487" s="104"/>
    </row>
    <row r="488" spans="1:30" ht="14.25">
      <c r="A488" s="143"/>
      <c r="B488" s="191"/>
      <c r="C488" s="143"/>
      <c r="D488" s="191"/>
      <c r="E488" s="191"/>
      <c r="F488" s="192"/>
      <c r="G488" s="191"/>
      <c r="H488" s="191"/>
      <c r="I488" s="143"/>
      <c r="J488" s="143"/>
      <c r="K488" s="143"/>
      <c r="L488" s="143"/>
      <c r="M488" s="191"/>
      <c r="N488" s="143"/>
      <c r="O488" s="143"/>
      <c r="P488" s="143"/>
      <c r="Q488" s="143"/>
      <c r="R488" s="143"/>
      <c r="S488" s="143"/>
      <c r="T488" s="143"/>
      <c r="U488" s="143"/>
      <c r="V488" s="143"/>
      <c r="W488" s="143"/>
      <c r="X488" s="143"/>
      <c r="Y488" s="143"/>
      <c r="Z488" s="143"/>
      <c r="AA488" s="143"/>
      <c r="AB488" s="104"/>
      <c r="AC488" s="104"/>
      <c r="AD488" s="104"/>
    </row>
    <row r="489" spans="1:30" ht="14.25">
      <c r="A489" s="143"/>
      <c r="B489" s="191"/>
      <c r="C489" s="143"/>
      <c r="D489" s="191"/>
      <c r="E489" s="191"/>
      <c r="F489" s="192"/>
      <c r="G489" s="191"/>
      <c r="H489" s="191"/>
      <c r="I489" s="143"/>
      <c r="J489" s="143"/>
      <c r="K489" s="143"/>
      <c r="L489" s="143"/>
      <c r="M489" s="191"/>
      <c r="N489" s="143"/>
      <c r="O489" s="143"/>
      <c r="P489" s="143"/>
      <c r="Q489" s="143"/>
      <c r="R489" s="143"/>
      <c r="S489" s="143"/>
      <c r="T489" s="143"/>
      <c r="U489" s="143"/>
      <c r="V489" s="143"/>
      <c r="W489" s="143"/>
      <c r="X489" s="143"/>
      <c r="Y489" s="143"/>
      <c r="Z489" s="143"/>
      <c r="AA489" s="143"/>
      <c r="AB489" s="104"/>
      <c r="AC489" s="104"/>
      <c r="AD489" s="104"/>
    </row>
    <row r="490" spans="1:30" ht="14.25">
      <c r="A490" s="143"/>
      <c r="B490" s="191"/>
      <c r="C490" s="143"/>
      <c r="D490" s="191"/>
      <c r="E490" s="191"/>
      <c r="F490" s="192"/>
      <c r="G490" s="191"/>
      <c r="H490" s="191"/>
      <c r="I490" s="143"/>
      <c r="J490" s="143"/>
      <c r="K490" s="143"/>
      <c r="L490" s="143"/>
      <c r="M490" s="191"/>
      <c r="N490" s="143"/>
      <c r="O490" s="143"/>
      <c r="P490" s="143"/>
      <c r="Q490" s="143"/>
      <c r="R490" s="143"/>
      <c r="S490" s="143"/>
      <c r="T490" s="143"/>
      <c r="U490" s="143"/>
      <c r="V490" s="143"/>
      <c r="W490" s="143"/>
      <c r="X490" s="143"/>
      <c r="Y490" s="143"/>
      <c r="Z490" s="143"/>
      <c r="AA490" s="143"/>
      <c r="AB490" s="104"/>
      <c r="AC490" s="104"/>
      <c r="AD490" s="104"/>
    </row>
    <row r="491" spans="1:30" ht="14.25">
      <c r="A491" s="143"/>
      <c r="B491" s="191"/>
      <c r="C491" s="143"/>
      <c r="D491" s="191"/>
      <c r="E491" s="191"/>
      <c r="F491" s="192"/>
      <c r="G491" s="191"/>
      <c r="H491" s="191"/>
      <c r="I491" s="143"/>
      <c r="J491" s="143"/>
      <c r="K491" s="143"/>
      <c r="L491" s="143"/>
      <c r="M491" s="191"/>
      <c r="N491" s="143"/>
      <c r="O491" s="143"/>
      <c r="P491" s="143"/>
      <c r="Q491" s="143"/>
      <c r="R491" s="143"/>
      <c r="S491" s="143"/>
      <c r="T491" s="143"/>
      <c r="U491" s="143"/>
      <c r="V491" s="143"/>
      <c r="W491" s="143"/>
      <c r="X491" s="143"/>
      <c r="Y491" s="143"/>
      <c r="Z491" s="143"/>
      <c r="AA491" s="143"/>
      <c r="AB491" s="104"/>
      <c r="AC491" s="104"/>
      <c r="AD491" s="104"/>
    </row>
    <row r="492" spans="1:30" ht="14.25">
      <c r="A492" s="143"/>
      <c r="B492" s="191"/>
      <c r="C492" s="143"/>
      <c r="D492" s="191"/>
      <c r="E492" s="191"/>
      <c r="F492" s="192"/>
      <c r="G492" s="191"/>
      <c r="H492" s="191"/>
      <c r="I492" s="143"/>
      <c r="J492" s="143"/>
      <c r="K492" s="143"/>
      <c r="L492" s="143"/>
      <c r="M492" s="191"/>
      <c r="N492" s="143"/>
      <c r="O492" s="143"/>
      <c r="P492" s="143"/>
      <c r="Q492" s="143"/>
      <c r="R492" s="143"/>
      <c r="S492" s="143"/>
      <c r="T492" s="143"/>
      <c r="U492" s="143"/>
      <c r="V492" s="143"/>
      <c r="W492" s="143"/>
      <c r="X492" s="143"/>
      <c r="Y492" s="143"/>
      <c r="Z492" s="143"/>
      <c r="AA492" s="143"/>
      <c r="AB492" s="104"/>
      <c r="AC492" s="104"/>
      <c r="AD492" s="104"/>
    </row>
    <row r="493" spans="1:30" ht="14.25">
      <c r="A493" s="143"/>
      <c r="B493" s="191"/>
      <c r="C493" s="143"/>
      <c r="D493" s="191"/>
      <c r="E493" s="191"/>
      <c r="F493" s="192"/>
      <c r="G493" s="191"/>
      <c r="H493" s="191"/>
      <c r="I493" s="143"/>
      <c r="J493" s="143"/>
      <c r="K493" s="143"/>
      <c r="L493" s="143"/>
      <c r="M493" s="191"/>
      <c r="N493" s="143"/>
      <c r="O493" s="143"/>
      <c r="P493" s="143"/>
      <c r="Q493" s="143"/>
      <c r="R493" s="143"/>
      <c r="S493" s="143"/>
      <c r="T493" s="143"/>
      <c r="U493" s="143"/>
      <c r="V493" s="143"/>
      <c r="W493" s="143"/>
      <c r="X493" s="143"/>
      <c r="Y493" s="143"/>
      <c r="Z493" s="143"/>
      <c r="AA493" s="143"/>
      <c r="AB493" s="104"/>
      <c r="AC493" s="104"/>
      <c r="AD493" s="104"/>
    </row>
    <row r="494" spans="1:30" ht="14.25">
      <c r="A494" s="143"/>
      <c r="B494" s="191"/>
      <c r="C494" s="143"/>
      <c r="D494" s="191"/>
      <c r="E494" s="191"/>
      <c r="F494" s="192"/>
      <c r="G494" s="191"/>
      <c r="H494" s="191"/>
      <c r="I494" s="143"/>
      <c r="J494" s="143"/>
      <c r="K494" s="143"/>
      <c r="L494" s="143"/>
      <c r="M494" s="191"/>
      <c r="N494" s="143"/>
      <c r="O494" s="143"/>
      <c r="P494" s="143"/>
      <c r="Q494" s="143"/>
      <c r="R494" s="143"/>
      <c r="S494" s="143"/>
      <c r="T494" s="143"/>
      <c r="U494" s="143"/>
      <c r="V494" s="143"/>
      <c r="W494" s="143"/>
      <c r="X494" s="143"/>
      <c r="Y494" s="143"/>
      <c r="Z494" s="143"/>
      <c r="AA494" s="143"/>
      <c r="AB494" s="104"/>
      <c r="AC494" s="104"/>
      <c r="AD494" s="104"/>
    </row>
    <row r="495" spans="1:30" ht="14.25">
      <c r="A495" s="143"/>
      <c r="B495" s="191"/>
      <c r="C495" s="143"/>
      <c r="D495" s="191"/>
      <c r="E495" s="191"/>
      <c r="F495" s="192"/>
      <c r="G495" s="191"/>
      <c r="H495" s="191"/>
      <c r="I495" s="143"/>
      <c r="J495" s="143"/>
      <c r="K495" s="143"/>
      <c r="L495" s="143"/>
      <c r="M495" s="191"/>
      <c r="N495" s="143"/>
      <c r="O495" s="143"/>
      <c r="P495" s="143"/>
      <c r="Q495" s="143"/>
      <c r="R495" s="143"/>
      <c r="S495" s="143"/>
      <c r="T495" s="143"/>
      <c r="U495" s="143"/>
      <c r="V495" s="143"/>
      <c r="W495" s="143"/>
      <c r="X495" s="143"/>
      <c r="Y495" s="143"/>
      <c r="Z495" s="143"/>
      <c r="AA495" s="143"/>
      <c r="AB495" s="104"/>
      <c r="AC495" s="104"/>
      <c r="AD495" s="104"/>
    </row>
    <row r="496" spans="1:30" ht="14.25">
      <c r="A496" s="143"/>
      <c r="B496" s="191"/>
      <c r="C496" s="143"/>
      <c r="D496" s="191"/>
      <c r="E496" s="191"/>
      <c r="F496" s="192"/>
      <c r="G496" s="191"/>
      <c r="H496" s="191"/>
      <c r="I496" s="143"/>
      <c r="J496" s="143"/>
      <c r="K496" s="143"/>
      <c r="L496" s="143"/>
      <c r="M496" s="191"/>
      <c r="N496" s="143"/>
      <c r="O496" s="143"/>
      <c r="P496" s="143"/>
      <c r="Q496" s="143"/>
      <c r="R496" s="143"/>
      <c r="S496" s="143"/>
      <c r="T496" s="143"/>
      <c r="U496" s="143"/>
      <c r="V496" s="143"/>
      <c r="W496" s="143"/>
      <c r="X496" s="143"/>
      <c r="Y496" s="143"/>
      <c r="Z496" s="143"/>
      <c r="AA496" s="143"/>
      <c r="AB496" s="104"/>
      <c r="AC496" s="104"/>
      <c r="AD496" s="104"/>
    </row>
    <row r="497" spans="1:30" ht="14.25">
      <c r="A497" s="143"/>
      <c r="B497" s="191"/>
      <c r="C497" s="143"/>
      <c r="D497" s="191"/>
      <c r="E497" s="191"/>
      <c r="F497" s="192"/>
      <c r="G497" s="191"/>
      <c r="H497" s="191"/>
      <c r="I497" s="143"/>
      <c r="J497" s="143"/>
      <c r="K497" s="143"/>
      <c r="L497" s="143"/>
      <c r="M497" s="191"/>
      <c r="N497" s="143"/>
      <c r="O497" s="143"/>
      <c r="P497" s="143"/>
      <c r="Q497" s="143"/>
      <c r="R497" s="143"/>
      <c r="S497" s="143"/>
      <c r="T497" s="143"/>
      <c r="U497" s="143"/>
      <c r="V497" s="143"/>
      <c r="W497" s="143"/>
      <c r="X497" s="143"/>
      <c r="Y497" s="143"/>
      <c r="Z497" s="143"/>
      <c r="AA497" s="143"/>
      <c r="AB497" s="104"/>
      <c r="AC497" s="104"/>
      <c r="AD497" s="104"/>
    </row>
    <row r="498" spans="1:30" ht="14.25">
      <c r="A498" s="143"/>
      <c r="B498" s="191"/>
      <c r="C498" s="143"/>
      <c r="D498" s="191"/>
      <c r="E498" s="191"/>
      <c r="F498" s="192"/>
      <c r="G498" s="191"/>
      <c r="H498" s="191"/>
      <c r="I498" s="143"/>
      <c r="J498" s="143"/>
      <c r="K498" s="143"/>
      <c r="L498" s="143"/>
      <c r="M498" s="191"/>
      <c r="N498" s="143"/>
      <c r="O498" s="143"/>
      <c r="P498" s="143"/>
      <c r="Q498" s="143"/>
      <c r="R498" s="143"/>
      <c r="S498" s="143"/>
      <c r="T498" s="143"/>
      <c r="U498" s="143"/>
      <c r="V498" s="143"/>
      <c r="W498" s="143"/>
      <c r="X498" s="143"/>
      <c r="Y498" s="143"/>
      <c r="Z498" s="143"/>
      <c r="AA498" s="143"/>
      <c r="AB498" s="104"/>
      <c r="AC498" s="104"/>
      <c r="AD498" s="104"/>
    </row>
    <row r="499" spans="1:30" ht="14.25">
      <c r="A499" s="143"/>
      <c r="B499" s="191"/>
      <c r="C499" s="143"/>
      <c r="D499" s="191"/>
      <c r="E499" s="191"/>
      <c r="F499" s="192"/>
      <c r="G499" s="191"/>
      <c r="H499" s="191"/>
      <c r="I499" s="143"/>
      <c r="J499" s="143"/>
      <c r="K499" s="143"/>
      <c r="L499" s="143"/>
      <c r="M499" s="191"/>
      <c r="N499" s="143"/>
      <c r="O499" s="143"/>
      <c r="P499" s="143"/>
      <c r="Q499" s="143"/>
      <c r="R499" s="143"/>
      <c r="S499" s="143"/>
      <c r="T499" s="143"/>
      <c r="U499" s="143"/>
      <c r="V499" s="143"/>
      <c r="W499" s="143"/>
      <c r="X499" s="143"/>
      <c r="Y499" s="143"/>
      <c r="Z499" s="143"/>
      <c r="AA499" s="143"/>
      <c r="AB499" s="104"/>
      <c r="AC499" s="104"/>
      <c r="AD499" s="104"/>
    </row>
    <row r="500" spans="1:30" ht="14.25">
      <c r="A500" s="143"/>
      <c r="B500" s="191"/>
      <c r="C500" s="143"/>
      <c r="D500" s="191"/>
      <c r="E500" s="191"/>
      <c r="F500" s="192"/>
      <c r="G500" s="191"/>
      <c r="H500" s="191"/>
      <c r="I500" s="143"/>
      <c r="J500" s="143"/>
      <c r="K500" s="143"/>
      <c r="L500" s="143"/>
      <c r="M500" s="191"/>
      <c r="N500" s="143"/>
      <c r="O500" s="143"/>
      <c r="P500" s="143"/>
      <c r="Q500" s="143"/>
      <c r="R500" s="143"/>
      <c r="S500" s="143"/>
      <c r="T500" s="143"/>
      <c r="U500" s="143"/>
      <c r="V500" s="143"/>
      <c r="W500" s="143"/>
      <c r="X500" s="143"/>
      <c r="Y500" s="143"/>
      <c r="Z500" s="143"/>
      <c r="AA500" s="143"/>
      <c r="AB500" s="104"/>
      <c r="AC500" s="104"/>
      <c r="AD500" s="104"/>
    </row>
    <row r="501" spans="1:30" ht="14.25">
      <c r="A501" s="143"/>
      <c r="B501" s="191"/>
      <c r="C501" s="143"/>
      <c r="D501" s="191"/>
      <c r="E501" s="191"/>
      <c r="F501" s="192"/>
      <c r="G501" s="191"/>
      <c r="H501" s="191"/>
      <c r="I501" s="143"/>
      <c r="J501" s="143"/>
      <c r="K501" s="143"/>
      <c r="L501" s="143"/>
      <c r="M501" s="191"/>
      <c r="N501" s="143"/>
      <c r="O501" s="143"/>
      <c r="P501" s="143"/>
      <c r="Q501" s="143"/>
      <c r="R501" s="143"/>
      <c r="S501" s="143"/>
      <c r="T501" s="143"/>
      <c r="U501" s="143"/>
      <c r="V501" s="143"/>
      <c r="W501" s="143"/>
      <c r="X501" s="143"/>
      <c r="Y501" s="143"/>
      <c r="Z501" s="143"/>
      <c r="AA501" s="143"/>
      <c r="AB501" s="104"/>
      <c r="AC501" s="104"/>
      <c r="AD501" s="104"/>
    </row>
    <row r="502" spans="1:30" ht="14.25">
      <c r="A502" s="143"/>
      <c r="B502" s="191"/>
      <c r="C502" s="143"/>
      <c r="D502" s="191"/>
      <c r="E502" s="191"/>
      <c r="F502" s="192"/>
      <c r="G502" s="191"/>
      <c r="H502" s="191"/>
      <c r="I502" s="143"/>
      <c r="J502" s="143"/>
      <c r="K502" s="143"/>
      <c r="L502" s="143"/>
      <c r="M502" s="191"/>
      <c r="N502" s="143"/>
      <c r="O502" s="143"/>
      <c r="P502" s="143"/>
      <c r="Q502" s="143"/>
      <c r="R502" s="143"/>
      <c r="S502" s="143"/>
      <c r="T502" s="143"/>
      <c r="U502" s="143"/>
      <c r="V502" s="143"/>
      <c r="W502" s="143"/>
      <c r="X502" s="143"/>
      <c r="Y502" s="143"/>
      <c r="Z502" s="143"/>
      <c r="AA502" s="143"/>
      <c r="AB502" s="104"/>
      <c r="AC502" s="104"/>
      <c r="AD502" s="104"/>
    </row>
    <row r="503" spans="1:30" ht="14.25">
      <c r="A503" s="143"/>
      <c r="B503" s="191"/>
      <c r="C503" s="143"/>
      <c r="D503" s="191"/>
      <c r="E503" s="191"/>
      <c r="F503" s="192"/>
      <c r="G503" s="191"/>
      <c r="H503" s="191"/>
      <c r="I503" s="143"/>
      <c r="J503" s="143"/>
      <c r="K503" s="143"/>
      <c r="L503" s="143"/>
      <c r="M503" s="191"/>
      <c r="N503" s="143"/>
      <c r="O503" s="143"/>
      <c r="P503" s="143"/>
      <c r="Q503" s="143"/>
      <c r="R503" s="143"/>
      <c r="S503" s="143"/>
      <c r="T503" s="143"/>
      <c r="U503" s="143"/>
      <c r="V503" s="143"/>
      <c r="W503" s="143"/>
      <c r="X503" s="143"/>
      <c r="Y503" s="143"/>
      <c r="Z503" s="143"/>
      <c r="AA503" s="143"/>
      <c r="AB503" s="104"/>
      <c r="AC503" s="104"/>
      <c r="AD503" s="104"/>
    </row>
    <row r="504" spans="1:30" ht="14.25">
      <c r="A504" s="143"/>
      <c r="B504" s="191"/>
      <c r="C504" s="143"/>
      <c r="D504" s="191"/>
      <c r="E504" s="191"/>
      <c r="F504" s="192"/>
      <c r="G504" s="191"/>
      <c r="H504" s="191"/>
      <c r="I504" s="143"/>
      <c r="J504" s="143"/>
      <c r="K504" s="143"/>
      <c r="L504" s="143"/>
      <c r="M504" s="191"/>
      <c r="N504" s="143"/>
      <c r="O504" s="143"/>
      <c r="P504" s="143"/>
      <c r="Q504" s="143"/>
      <c r="R504" s="143"/>
      <c r="S504" s="143"/>
      <c r="T504" s="143"/>
      <c r="U504" s="143"/>
      <c r="V504" s="143"/>
      <c r="W504" s="143"/>
      <c r="X504" s="143"/>
      <c r="Y504" s="143"/>
      <c r="Z504" s="143"/>
      <c r="AA504" s="143"/>
      <c r="AB504" s="104"/>
      <c r="AC504" s="104"/>
      <c r="AD504" s="104"/>
    </row>
    <row r="505" spans="1:30" ht="14.25">
      <c r="A505" s="143"/>
      <c r="B505" s="191"/>
      <c r="C505" s="143"/>
      <c r="D505" s="191"/>
      <c r="E505" s="191"/>
      <c r="F505" s="192"/>
      <c r="G505" s="191"/>
      <c r="H505" s="191"/>
      <c r="I505" s="143"/>
      <c r="J505" s="143"/>
      <c r="K505" s="143"/>
      <c r="L505" s="143"/>
      <c r="M505" s="191"/>
      <c r="N505" s="143"/>
      <c r="O505" s="143"/>
      <c r="P505" s="143"/>
      <c r="Q505" s="143"/>
      <c r="R505" s="143"/>
      <c r="S505" s="143"/>
      <c r="T505" s="143"/>
      <c r="U505" s="143"/>
      <c r="V505" s="143"/>
      <c r="W505" s="143"/>
      <c r="X505" s="143"/>
      <c r="Y505" s="143"/>
      <c r="Z505" s="143"/>
      <c r="AA505" s="143"/>
      <c r="AB505" s="104"/>
      <c r="AC505" s="104"/>
      <c r="AD505" s="104"/>
    </row>
    <row r="506" spans="1:30" ht="14.25">
      <c r="A506" s="143"/>
      <c r="B506" s="191"/>
      <c r="C506" s="143"/>
      <c r="D506" s="191"/>
      <c r="E506" s="191"/>
      <c r="F506" s="192"/>
      <c r="G506" s="191"/>
      <c r="H506" s="191"/>
      <c r="I506" s="143"/>
      <c r="J506" s="143"/>
      <c r="K506" s="143"/>
      <c r="L506" s="143"/>
      <c r="M506" s="191"/>
      <c r="N506" s="143"/>
      <c r="O506" s="143"/>
      <c r="P506" s="143"/>
      <c r="Q506" s="143"/>
      <c r="R506" s="143"/>
      <c r="S506" s="143"/>
      <c r="T506" s="143"/>
      <c r="U506" s="143"/>
      <c r="V506" s="143"/>
      <c r="W506" s="143"/>
      <c r="X506" s="143"/>
      <c r="Y506" s="143"/>
      <c r="Z506" s="143"/>
      <c r="AA506" s="143"/>
      <c r="AB506" s="104"/>
      <c r="AC506" s="104"/>
      <c r="AD506" s="104"/>
    </row>
    <row r="507" spans="1:30" ht="14.25">
      <c r="A507" s="143"/>
      <c r="B507" s="191"/>
      <c r="C507" s="143"/>
      <c r="D507" s="191"/>
      <c r="E507" s="191"/>
      <c r="F507" s="192"/>
      <c r="G507" s="191"/>
      <c r="H507" s="191"/>
      <c r="I507" s="143"/>
      <c r="J507" s="143"/>
      <c r="K507" s="143"/>
      <c r="L507" s="143"/>
      <c r="M507" s="191"/>
      <c r="N507" s="143"/>
      <c r="O507" s="143"/>
      <c r="P507" s="143"/>
      <c r="Q507" s="143"/>
      <c r="R507" s="143"/>
      <c r="S507" s="143"/>
      <c r="T507" s="143"/>
      <c r="U507" s="143"/>
      <c r="V507" s="143"/>
      <c r="W507" s="143"/>
      <c r="X507" s="143"/>
      <c r="Y507" s="143"/>
      <c r="Z507" s="143"/>
      <c r="AA507" s="143"/>
      <c r="AB507" s="104"/>
      <c r="AC507" s="104"/>
      <c r="AD507" s="104"/>
    </row>
    <row r="508" spans="1:30" ht="14.25">
      <c r="A508" s="104"/>
      <c r="B508" s="104"/>
      <c r="C508" s="104"/>
      <c r="D508" s="104"/>
      <c r="E508" s="104"/>
      <c r="F508" s="193"/>
      <c r="G508" s="104"/>
      <c r="H508" s="104"/>
      <c r="I508" s="104"/>
      <c r="J508" s="104"/>
      <c r="K508" s="104"/>
      <c r="L508" s="104"/>
      <c r="M508" s="191"/>
      <c r="N508" s="104"/>
      <c r="O508" s="104"/>
      <c r="P508" s="104"/>
      <c r="Q508" s="104"/>
      <c r="R508" s="104"/>
      <c r="S508" s="104"/>
      <c r="T508" s="104"/>
      <c r="U508" s="104"/>
      <c r="V508" s="104"/>
      <c r="W508" s="104"/>
      <c r="X508" s="104"/>
      <c r="Y508" s="104"/>
      <c r="Z508" s="104"/>
      <c r="AA508" s="104"/>
      <c r="AB508" s="104"/>
      <c r="AC508" s="104"/>
      <c r="AD508" s="104"/>
    </row>
    <row r="509" spans="1:30" ht="14.25">
      <c r="A509" s="104"/>
      <c r="B509" s="104"/>
      <c r="C509" s="104"/>
      <c r="D509" s="104"/>
      <c r="E509" s="104"/>
      <c r="F509" s="193"/>
      <c r="G509" s="104"/>
      <c r="H509" s="104"/>
      <c r="I509" s="104"/>
      <c r="J509" s="104"/>
      <c r="K509" s="104"/>
      <c r="L509" s="104"/>
      <c r="M509" s="191"/>
      <c r="N509" s="104"/>
      <c r="O509" s="104"/>
      <c r="P509" s="104"/>
      <c r="Q509" s="104"/>
      <c r="R509" s="104"/>
      <c r="S509" s="104"/>
      <c r="T509" s="104"/>
      <c r="U509" s="104"/>
      <c r="V509" s="104"/>
      <c r="W509" s="104"/>
      <c r="X509" s="104"/>
      <c r="Y509" s="104"/>
      <c r="Z509" s="104"/>
      <c r="AA509" s="104"/>
      <c r="AB509" s="104"/>
      <c r="AC509" s="104"/>
      <c r="AD509" s="104"/>
    </row>
    <row r="510" spans="1:30" ht="12.75">
      <c r="A510" s="104"/>
      <c r="B510" s="104"/>
      <c r="C510" s="104"/>
      <c r="D510" s="104"/>
      <c r="E510" s="104"/>
      <c r="F510" s="193"/>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row>
    <row r="511" spans="1:30" ht="12.75">
      <c r="A511" s="104"/>
      <c r="B511" s="104"/>
      <c r="C511" s="104"/>
      <c r="D511" s="104"/>
      <c r="E511" s="104"/>
      <c r="F511" s="193"/>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row>
    <row r="512" spans="1:30" ht="12.75">
      <c r="A512" s="104"/>
      <c r="B512" s="104"/>
      <c r="C512" s="104"/>
      <c r="D512" s="104"/>
      <c r="E512" s="104"/>
      <c r="F512" s="193"/>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row>
    <row r="513" spans="1:30" ht="12.75">
      <c r="A513" s="104"/>
      <c r="B513" s="104"/>
      <c r="C513" s="104"/>
      <c r="D513" s="104"/>
      <c r="E513" s="104"/>
      <c r="F513" s="193"/>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row>
    <row r="514" spans="1:30" ht="12.75">
      <c r="A514" s="104"/>
      <c r="B514" s="104"/>
      <c r="C514" s="104"/>
      <c r="D514" s="104"/>
      <c r="E514" s="104"/>
      <c r="F514" s="193"/>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row>
    <row r="515" spans="1:30" ht="12.75">
      <c r="A515" s="104"/>
      <c r="B515" s="104"/>
      <c r="C515" s="104"/>
      <c r="D515" s="104"/>
      <c r="E515" s="104"/>
      <c r="F515" s="193"/>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row>
    <row r="516" spans="1:30" ht="12.75">
      <c r="A516" s="104"/>
      <c r="B516" s="104"/>
      <c r="C516" s="104"/>
      <c r="D516" s="104"/>
      <c r="E516" s="104"/>
      <c r="F516" s="193"/>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row>
    <row r="517" spans="1:30" ht="12.75">
      <c r="A517" s="104"/>
      <c r="B517" s="104"/>
      <c r="C517" s="104"/>
      <c r="D517" s="104"/>
      <c r="E517" s="104"/>
      <c r="F517" s="193"/>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row>
    <row r="518" spans="1:30" ht="12.75">
      <c r="A518" s="104"/>
      <c r="B518" s="104"/>
      <c r="C518" s="104"/>
      <c r="D518" s="104"/>
      <c r="E518" s="104"/>
      <c r="F518" s="193"/>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row>
    <row r="519" spans="1:30" ht="12.75">
      <c r="A519" s="104"/>
      <c r="B519" s="104"/>
      <c r="C519" s="104"/>
      <c r="D519" s="104"/>
      <c r="E519" s="104"/>
      <c r="F519" s="193"/>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row>
    <row r="520" spans="1:30" ht="12.75">
      <c r="A520" s="104"/>
      <c r="B520" s="104"/>
      <c r="C520" s="104"/>
      <c r="D520" s="104"/>
      <c r="E520" s="104"/>
      <c r="F520" s="193"/>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row>
    <row r="521" spans="1:30" ht="12.75">
      <c r="A521" s="104"/>
      <c r="B521" s="104"/>
      <c r="C521" s="104"/>
      <c r="D521" s="104"/>
      <c r="E521" s="104"/>
      <c r="F521" s="193"/>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row>
    <row r="522" spans="1:30" ht="12.75">
      <c r="A522" s="104"/>
      <c r="B522" s="104"/>
      <c r="C522" s="104"/>
      <c r="D522" s="104"/>
      <c r="E522" s="104"/>
      <c r="F522" s="193"/>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row>
    <row r="523" spans="1:30" ht="12.75">
      <c r="A523" s="104"/>
      <c r="B523" s="104"/>
      <c r="C523" s="104"/>
      <c r="D523" s="104"/>
      <c r="E523" s="104"/>
      <c r="F523" s="193"/>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row>
    <row r="524" spans="1:30" ht="12.75">
      <c r="A524" s="104"/>
      <c r="B524" s="104"/>
      <c r="C524" s="104"/>
      <c r="D524" s="104"/>
      <c r="E524" s="104"/>
      <c r="F524" s="193"/>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row>
    <row r="525" spans="1:30" ht="12.75">
      <c r="A525" s="104"/>
      <c r="B525" s="104"/>
      <c r="C525" s="104"/>
      <c r="D525" s="104"/>
      <c r="E525" s="104"/>
      <c r="F525" s="193"/>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row>
    <row r="526" spans="1:30" ht="12.75">
      <c r="A526" s="104"/>
      <c r="B526" s="104"/>
      <c r="C526" s="104"/>
      <c r="D526" s="104"/>
      <c r="E526" s="104"/>
      <c r="F526" s="193"/>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row>
    <row r="527" spans="1:30" ht="12.75">
      <c r="A527" s="104"/>
      <c r="B527" s="104"/>
      <c r="C527" s="104"/>
      <c r="D527" s="104"/>
      <c r="E527" s="104"/>
      <c r="F527" s="193"/>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row>
    <row r="528" spans="1:30" ht="12.75">
      <c r="A528" s="104"/>
      <c r="B528" s="104"/>
      <c r="C528" s="104"/>
      <c r="D528" s="104"/>
      <c r="E528" s="104"/>
      <c r="F528" s="193"/>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row>
    <row r="529" spans="1:30" ht="12.75">
      <c r="A529" s="104"/>
      <c r="B529" s="104"/>
      <c r="C529" s="104"/>
      <c r="D529" s="104"/>
      <c r="E529" s="104"/>
      <c r="F529" s="193"/>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row>
    <row r="530" spans="1:30" ht="12.75">
      <c r="A530" s="104"/>
      <c r="B530" s="104"/>
      <c r="C530" s="104"/>
      <c r="D530" s="104"/>
      <c r="E530" s="104"/>
      <c r="F530" s="193"/>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row>
    <row r="531" spans="1:30" ht="12.75">
      <c r="A531" s="104"/>
      <c r="B531" s="104"/>
      <c r="C531" s="104"/>
      <c r="D531" s="104"/>
      <c r="E531" s="104"/>
      <c r="F531" s="193"/>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row>
    <row r="532" spans="1:30" ht="12.75">
      <c r="A532" s="104"/>
      <c r="B532" s="104"/>
      <c r="C532" s="104"/>
      <c r="D532" s="104"/>
      <c r="E532" s="104"/>
      <c r="F532" s="193"/>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row>
    <row r="533" spans="1:30" ht="12.75">
      <c r="A533" s="104"/>
      <c r="B533" s="104"/>
      <c r="C533" s="104"/>
      <c r="D533" s="104"/>
      <c r="E533" s="104"/>
      <c r="F533" s="193"/>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row>
    <row r="534" spans="1:30" ht="12.75">
      <c r="A534" s="104"/>
      <c r="B534" s="104"/>
      <c r="C534" s="104"/>
      <c r="D534" s="104"/>
      <c r="E534" s="104"/>
      <c r="F534" s="193"/>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row>
    <row r="535" spans="1:30" ht="12.75">
      <c r="A535" s="104"/>
      <c r="B535" s="104"/>
      <c r="C535" s="104"/>
      <c r="D535" s="104"/>
      <c r="E535" s="104"/>
      <c r="F535" s="193"/>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row>
    <row r="536" spans="1:30" ht="12.75">
      <c r="A536" s="104"/>
      <c r="B536" s="104"/>
      <c r="C536" s="104"/>
      <c r="D536" s="104"/>
      <c r="E536" s="104"/>
      <c r="F536" s="193"/>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row>
    <row r="537" spans="1:30" ht="12.75">
      <c r="A537" s="104"/>
      <c r="B537" s="104"/>
      <c r="C537" s="104"/>
      <c r="D537" s="104"/>
      <c r="E537" s="104"/>
      <c r="F537" s="193"/>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row>
    <row r="538" spans="1:30" ht="12.75">
      <c r="A538" s="104"/>
      <c r="B538" s="104"/>
      <c r="C538" s="104"/>
      <c r="D538" s="104"/>
      <c r="E538" s="104"/>
      <c r="F538" s="193"/>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row>
    <row r="539" spans="1:30" ht="12.75">
      <c r="A539" s="104"/>
      <c r="B539" s="104"/>
      <c r="C539" s="104"/>
      <c r="D539" s="104"/>
      <c r="E539" s="104"/>
      <c r="F539" s="193"/>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row>
    <row r="540" spans="1:30" ht="12.75">
      <c r="A540" s="104"/>
      <c r="B540" s="104"/>
      <c r="C540" s="104"/>
      <c r="D540" s="104"/>
      <c r="E540" s="104"/>
      <c r="F540" s="193"/>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row>
    <row r="541" spans="1:30" ht="12.75">
      <c r="A541" s="104"/>
      <c r="B541" s="104"/>
      <c r="C541" s="104"/>
      <c r="D541" s="104"/>
      <c r="E541" s="104"/>
      <c r="F541" s="193"/>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row>
    <row r="542" spans="1:30" ht="12.75">
      <c r="A542" s="104"/>
      <c r="B542" s="104"/>
      <c r="C542" s="104"/>
      <c r="D542" s="104"/>
      <c r="E542" s="104"/>
      <c r="F542" s="193"/>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row>
    <row r="543" spans="1:30" ht="12.75">
      <c r="A543" s="104"/>
      <c r="B543" s="104"/>
      <c r="C543" s="104"/>
      <c r="D543" s="104"/>
      <c r="E543" s="104"/>
      <c r="F543" s="193"/>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row>
    <row r="544" spans="1:30" ht="12.75">
      <c r="A544" s="104"/>
      <c r="B544" s="104"/>
      <c r="C544" s="104"/>
      <c r="D544" s="104"/>
      <c r="E544" s="104"/>
      <c r="F544" s="193"/>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row>
    <row r="545" spans="1:30" ht="12.75">
      <c r="A545" s="104"/>
      <c r="B545" s="104"/>
      <c r="C545" s="104"/>
      <c r="D545" s="104"/>
      <c r="E545" s="104"/>
      <c r="F545" s="193"/>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row>
    <row r="546" spans="1:30" ht="12.75">
      <c r="A546" s="104"/>
      <c r="B546" s="104"/>
      <c r="C546" s="104"/>
      <c r="D546" s="104"/>
      <c r="E546" s="104"/>
      <c r="F546" s="193"/>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row>
    <row r="547" spans="1:30" ht="12.75">
      <c r="A547" s="104"/>
      <c r="B547" s="104"/>
      <c r="C547" s="104"/>
      <c r="D547" s="104"/>
      <c r="E547" s="104"/>
      <c r="F547" s="193"/>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row>
    <row r="548" spans="1:30" ht="12.75">
      <c r="A548" s="104"/>
      <c r="B548" s="104"/>
      <c r="C548" s="104"/>
      <c r="D548" s="104"/>
      <c r="E548" s="104"/>
      <c r="F548" s="193"/>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row>
    <row r="549" spans="1:30" ht="12.75">
      <c r="A549" s="104"/>
      <c r="B549" s="104"/>
      <c r="C549" s="104"/>
      <c r="D549" s="104"/>
      <c r="E549" s="104"/>
      <c r="F549" s="193"/>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row>
    <row r="550" spans="1:30" ht="12.75">
      <c r="A550" s="104"/>
      <c r="B550" s="104"/>
      <c r="C550" s="104"/>
      <c r="D550" s="104"/>
      <c r="E550" s="104"/>
      <c r="F550" s="193"/>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row>
    <row r="551" spans="1:30" ht="12.75">
      <c r="A551" s="104"/>
      <c r="B551" s="104"/>
      <c r="C551" s="104"/>
      <c r="D551" s="104"/>
      <c r="E551" s="104"/>
      <c r="F551" s="193"/>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row>
    <row r="552" spans="1:30" ht="12.75">
      <c r="A552" s="104"/>
      <c r="B552" s="104"/>
      <c r="C552" s="104"/>
      <c r="D552" s="104"/>
      <c r="E552" s="104"/>
      <c r="F552" s="193"/>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row>
    <row r="553" spans="1:30" ht="12.75">
      <c r="A553" s="104"/>
      <c r="B553" s="104"/>
      <c r="C553" s="104"/>
      <c r="D553" s="104"/>
      <c r="E553" s="104"/>
      <c r="F553" s="193"/>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row>
    <row r="554" spans="1:30" ht="12.75">
      <c r="A554" s="104"/>
      <c r="B554" s="104"/>
      <c r="C554" s="104"/>
      <c r="D554" s="104"/>
      <c r="E554" s="104"/>
      <c r="F554" s="193"/>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row>
    <row r="555" spans="1:30" ht="12.75">
      <c r="A555" s="104"/>
      <c r="B555" s="104"/>
      <c r="C555" s="104"/>
      <c r="D555" s="104"/>
      <c r="E555" s="104"/>
      <c r="F555" s="193"/>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row>
    <row r="556" spans="1:30" ht="12.75">
      <c r="A556" s="104"/>
      <c r="B556" s="104"/>
      <c r="C556" s="104"/>
      <c r="D556" s="104"/>
      <c r="E556" s="104"/>
      <c r="F556" s="193"/>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row>
    <row r="557" spans="1:30" ht="12.75">
      <c r="A557" s="104"/>
      <c r="B557" s="104"/>
      <c r="C557" s="104"/>
      <c r="D557" s="104"/>
      <c r="E557" s="104"/>
      <c r="F557" s="193"/>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row>
    <row r="558" spans="1:30" ht="12.75">
      <c r="A558" s="104"/>
      <c r="B558" s="104"/>
      <c r="C558" s="104"/>
      <c r="D558" s="104"/>
      <c r="E558" s="104"/>
      <c r="F558" s="193"/>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row>
    <row r="559" spans="1:30" ht="12.75">
      <c r="A559" s="104"/>
      <c r="B559" s="104"/>
      <c r="C559" s="104"/>
      <c r="D559" s="104"/>
      <c r="E559" s="104"/>
      <c r="F559" s="193"/>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row>
    <row r="560" spans="1:30" ht="12.75">
      <c r="A560" s="104"/>
      <c r="B560" s="104"/>
      <c r="C560" s="104"/>
      <c r="D560" s="104"/>
      <c r="E560" s="104"/>
      <c r="F560" s="193"/>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row>
    <row r="561" spans="1:30" ht="12.75">
      <c r="A561" s="104"/>
      <c r="B561" s="104"/>
      <c r="C561" s="104"/>
      <c r="D561" s="104"/>
      <c r="E561" s="104"/>
      <c r="F561" s="193"/>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row>
    <row r="562" spans="1:30" ht="12.75">
      <c r="A562" s="104"/>
      <c r="B562" s="104"/>
      <c r="C562" s="104"/>
      <c r="D562" s="104"/>
      <c r="E562" s="104"/>
      <c r="F562" s="193"/>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row>
    <row r="563" spans="1:30" ht="12.75">
      <c r="A563" s="104"/>
      <c r="B563" s="104"/>
      <c r="C563" s="104"/>
      <c r="D563" s="104"/>
      <c r="E563" s="104"/>
      <c r="F563" s="193"/>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row>
    <row r="564" spans="1:30" ht="12.75">
      <c r="A564" s="104"/>
      <c r="B564" s="104"/>
      <c r="C564" s="104"/>
      <c r="D564" s="104"/>
      <c r="E564" s="104"/>
      <c r="F564" s="193"/>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row>
    <row r="565" spans="1:30" ht="12.75">
      <c r="A565" s="104"/>
      <c r="B565" s="104"/>
      <c r="C565" s="104"/>
      <c r="D565" s="104"/>
      <c r="E565" s="104"/>
      <c r="F565" s="193"/>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row>
    <row r="566" spans="1:30" ht="12.75">
      <c r="A566" s="104"/>
      <c r="B566" s="104"/>
      <c r="C566" s="104"/>
      <c r="D566" s="104"/>
      <c r="E566" s="104"/>
      <c r="F566" s="193"/>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row>
    <row r="567" spans="1:30" ht="12.75">
      <c r="A567" s="104"/>
      <c r="B567" s="104"/>
      <c r="C567" s="104"/>
      <c r="D567" s="104"/>
      <c r="E567" s="104"/>
      <c r="F567" s="193"/>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row>
    <row r="568" spans="1:30" ht="12.75">
      <c r="A568" s="104"/>
      <c r="B568" s="104"/>
      <c r="C568" s="104"/>
      <c r="D568" s="104"/>
      <c r="E568" s="104"/>
      <c r="F568" s="193"/>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row>
    <row r="569" spans="1:30" ht="12.75">
      <c r="A569" s="104"/>
      <c r="B569" s="104"/>
      <c r="C569" s="104"/>
      <c r="D569" s="104"/>
      <c r="E569" s="104"/>
      <c r="F569" s="193"/>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row>
    <row r="570" spans="1:30" ht="12.75">
      <c r="A570" s="104"/>
      <c r="B570" s="104"/>
      <c r="C570" s="104"/>
      <c r="D570" s="104"/>
      <c r="E570" s="104"/>
      <c r="F570" s="193"/>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row>
    <row r="571" spans="1:30" ht="12.75">
      <c r="A571" s="104"/>
      <c r="B571" s="104"/>
      <c r="C571" s="104"/>
      <c r="D571" s="104"/>
      <c r="E571" s="104"/>
      <c r="F571" s="193"/>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row>
    <row r="572" spans="1:30" ht="12.75">
      <c r="A572" s="104"/>
      <c r="B572" s="104"/>
      <c r="C572" s="104"/>
      <c r="D572" s="104"/>
      <c r="E572" s="104"/>
      <c r="F572" s="193"/>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row>
    <row r="573" spans="1:30" ht="12.75">
      <c r="A573" s="104"/>
      <c r="B573" s="104"/>
      <c r="C573" s="104"/>
      <c r="D573" s="104"/>
      <c r="E573" s="104"/>
      <c r="F573" s="193"/>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row>
    <row r="574" spans="1:30" ht="12.75">
      <c r="A574" s="104"/>
      <c r="B574" s="104"/>
      <c r="C574" s="104"/>
      <c r="D574" s="104"/>
      <c r="E574" s="104"/>
      <c r="F574" s="193"/>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row>
    <row r="575" spans="1:30" ht="12.75">
      <c r="A575" s="104"/>
      <c r="B575" s="104"/>
      <c r="C575" s="104"/>
      <c r="D575" s="104"/>
      <c r="E575" s="104"/>
      <c r="F575" s="193"/>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row>
    <row r="576" spans="1:30" ht="12.75">
      <c r="A576" s="104"/>
      <c r="B576" s="104"/>
      <c r="C576" s="104"/>
      <c r="D576" s="104"/>
      <c r="E576" s="104"/>
      <c r="F576" s="193"/>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row>
    <row r="577" spans="1:30" ht="12.75">
      <c r="A577" s="104"/>
      <c r="B577" s="104"/>
      <c r="C577" s="104"/>
      <c r="D577" s="104"/>
      <c r="E577" s="104"/>
      <c r="F577" s="193"/>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row>
    <row r="578" spans="1:30" ht="12.75">
      <c r="A578" s="104"/>
      <c r="B578" s="104"/>
      <c r="C578" s="104"/>
      <c r="D578" s="104"/>
      <c r="E578" s="104"/>
      <c r="F578" s="193"/>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row>
    <row r="579" spans="1:30" ht="12.75">
      <c r="A579" s="104"/>
      <c r="B579" s="104"/>
      <c r="C579" s="104"/>
      <c r="D579" s="104"/>
      <c r="E579" s="104"/>
      <c r="F579" s="193"/>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row>
    <row r="580" spans="1:30" ht="12.75">
      <c r="A580" s="104"/>
      <c r="B580" s="104"/>
      <c r="C580" s="104"/>
      <c r="D580" s="104"/>
      <c r="E580" s="104"/>
      <c r="F580" s="193"/>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row>
    <row r="581" spans="1:30" ht="12.75">
      <c r="A581" s="104"/>
      <c r="B581" s="104"/>
      <c r="C581" s="104"/>
      <c r="D581" s="104"/>
      <c r="E581" s="104"/>
      <c r="F581" s="193"/>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row>
    <row r="582" spans="1:30" ht="12.75">
      <c r="A582" s="104"/>
      <c r="B582" s="104"/>
      <c r="C582" s="104"/>
      <c r="D582" s="104"/>
      <c r="E582" s="104"/>
      <c r="F582" s="193"/>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row>
    <row r="583" spans="1:30" ht="12.75">
      <c r="A583" s="104"/>
      <c r="B583" s="104"/>
      <c r="C583" s="104"/>
      <c r="D583" s="104"/>
      <c r="E583" s="104"/>
      <c r="F583" s="193"/>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row>
    <row r="584" spans="1:30" ht="12.75">
      <c r="A584" s="104"/>
      <c r="B584" s="104"/>
      <c r="C584" s="104"/>
      <c r="D584" s="104"/>
      <c r="E584" s="104"/>
      <c r="F584" s="193"/>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row>
    <row r="585" spans="1:30" ht="12.75">
      <c r="A585" s="104"/>
      <c r="B585" s="104"/>
      <c r="C585" s="104"/>
      <c r="D585" s="104"/>
      <c r="E585" s="104"/>
      <c r="F585" s="193"/>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row>
    <row r="586" spans="1:30" ht="12.75">
      <c r="A586" s="104"/>
      <c r="B586" s="104"/>
      <c r="C586" s="104"/>
      <c r="D586" s="104"/>
      <c r="E586" s="104"/>
      <c r="F586" s="193"/>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row>
    <row r="587" spans="1:30" ht="12.75">
      <c r="A587" s="104"/>
      <c r="B587" s="104"/>
      <c r="C587" s="104"/>
      <c r="D587" s="104"/>
      <c r="E587" s="104"/>
      <c r="F587" s="193"/>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row>
    <row r="588" spans="1:30" ht="12.75">
      <c r="A588" s="104"/>
      <c r="B588" s="104"/>
      <c r="C588" s="104"/>
      <c r="D588" s="104"/>
      <c r="E588" s="104"/>
      <c r="F588" s="193"/>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row>
    <row r="589" spans="1:30" ht="12.75">
      <c r="A589" s="104"/>
      <c r="B589" s="104"/>
      <c r="C589" s="104"/>
      <c r="D589" s="104"/>
      <c r="E589" s="104"/>
      <c r="F589" s="193"/>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row>
    <row r="590" spans="1:30" ht="12.75">
      <c r="A590" s="104"/>
      <c r="B590" s="104"/>
      <c r="C590" s="104"/>
      <c r="D590" s="104"/>
      <c r="E590" s="104"/>
      <c r="F590" s="193"/>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row>
    <row r="591" spans="1:30" ht="12.75">
      <c r="A591" s="104"/>
      <c r="B591" s="104"/>
      <c r="C591" s="104"/>
      <c r="D591" s="104"/>
      <c r="E591" s="104"/>
      <c r="F591" s="193"/>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row>
    <row r="592" spans="1:30" ht="12.75">
      <c r="A592" s="104"/>
      <c r="B592" s="104"/>
      <c r="C592" s="104"/>
      <c r="D592" s="104"/>
      <c r="E592" s="104"/>
      <c r="F592" s="193"/>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row>
    <row r="593" spans="1:30" ht="12.75">
      <c r="A593" s="104"/>
      <c r="B593" s="104"/>
      <c r="C593" s="104"/>
      <c r="D593" s="104"/>
      <c r="E593" s="104"/>
      <c r="F593" s="193"/>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row>
    <row r="594" spans="1:30" ht="12.75">
      <c r="A594" s="104"/>
      <c r="B594" s="104"/>
      <c r="C594" s="104"/>
      <c r="D594" s="104"/>
      <c r="E594" s="104"/>
      <c r="F594" s="193"/>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row>
    <row r="595" spans="1:30" ht="12.75">
      <c r="A595" s="104"/>
      <c r="B595" s="104"/>
      <c r="C595" s="104"/>
      <c r="D595" s="104"/>
      <c r="E595" s="104"/>
      <c r="F595" s="193"/>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row>
    <row r="596" spans="1:30" ht="12.75">
      <c r="A596" s="104"/>
      <c r="B596" s="104"/>
      <c r="C596" s="104"/>
      <c r="D596" s="104"/>
      <c r="E596" s="104"/>
      <c r="F596" s="193"/>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row>
    <row r="597" spans="1:30" ht="12.75">
      <c r="A597" s="104"/>
      <c r="B597" s="104"/>
      <c r="C597" s="104"/>
      <c r="D597" s="104"/>
      <c r="E597" s="104"/>
      <c r="F597" s="193"/>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row>
    <row r="598" spans="1:30" ht="12.75">
      <c r="A598" s="104"/>
      <c r="B598" s="104"/>
      <c r="C598" s="104"/>
      <c r="D598" s="104"/>
      <c r="E598" s="104"/>
      <c r="F598" s="193"/>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row>
    <row r="599" spans="1:30" ht="12.75">
      <c r="A599" s="104"/>
      <c r="B599" s="104"/>
      <c r="C599" s="104"/>
      <c r="D599" s="104"/>
      <c r="E599" s="104"/>
      <c r="F599" s="193"/>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row>
    <row r="600" spans="1:30" ht="12.75">
      <c r="A600" s="104"/>
      <c r="B600" s="104"/>
      <c r="C600" s="104"/>
      <c r="D600" s="104"/>
      <c r="E600" s="104"/>
      <c r="F600" s="193"/>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row>
    <row r="601" spans="1:30" ht="12.75">
      <c r="A601" s="104"/>
      <c r="B601" s="104"/>
      <c r="C601" s="104"/>
      <c r="D601" s="104"/>
      <c r="E601" s="104"/>
      <c r="F601" s="193"/>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row>
    <row r="602" spans="1:30" ht="12.75">
      <c r="A602" s="104"/>
      <c r="B602" s="104"/>
      <c r="C602" s="104"/>
      <c r="D602" s="104"/>
      <c r="E602" s="104"/>
      <c r="F602" s="193"/>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row>
    <row r="603" spans="1:30" ht="12.75">
      <c r="A603" s="104"/>
      <c r="B603" s="104"/>
      <c r="C603" s="104"/>
      <c r="D603" s="104"/>
      <c r="E603" s="104"/>
      <c r="F603" s="193"/>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row>
    <row r="604" spans="1:30" ht="12.75">
      <c r="A604" s="104"/>
      <c r="B604" s="104"/>
      <c r="C604" s="104"/>
      <c r="D604" s="104"/>
      <c r="E604" s="104"/>
      <c r="F604" s="193"/>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row>
    <row r="605" spans="1:30" ht="12.75">
      <c r="A605" s="104"/>
      <c r="B605" s="104"/>
      <c r="C605" s="104"/>
      <c r="D605" s="104"/>
      <c r="E605" s="104"/>
      <c r="F605" s="193"/>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row>
    <row r="606" spans="1:30" ht="12.75">
      <c r="A606" s="104"/>
      <c r="B606" s="104"/>
      <c r="C606" s="104"/>
      <c r="D606" s="104"/>
      <c r="E606" s="104"/>
      <c r="F606" s="193"/>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row>
    <row r="607" spans="1:30" ht="12.75">
      <c r="A607" s="104"/>
      <c r="B607" s="104"/>
      <c r="C607" s="104"/>
      <c r="D607" s="104"/>
      <c r="E607" s="104"/>
      <c r="F607" s="193"/>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row>
    <row r="608" spans="1:30" ht="12.75">
      <c r="A608" s="104"/>
      <c r="B608" s="104"/>
      <c r="C608" s="104"/>
      <c r="D608" s="104"/>
      <c r="E608" s="104"/>
      <c r="F608" s="193"/>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row>
    <row r="609" spans="1:30" ht="12.75">
      <c r="A609" s="104"/>
      <c r="B609" s="104"/>
      <c r="C609" s="104"/>
      <c r="D609" s="104"/>
      <c r="E609" s="104"/>
      <c r="F609" s="193"/>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row>
    <row r="610" spans="1:30" ht="12.75">
      <c r="A610" s="104"/>
      <c r="B610" s="104"/>
      <c r="C610" s="104"/>
      <c r="D610" s="104"/>
      <c r="E610" s="104"/>
      <c r="F610" s="193"/>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row>
    <row r="611" spans="1:30" ht="12.75">
      <c r="A611" s="104"/>
      <c r="B611" s="104"/>
      <c r="C611" s="104"/>
      <c r="D611" s="104"/>
      <c r="E611" s="104"/>
      <c r="F611" s="193"/>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row>
    <row r="612" spans="1:30" ht="12.75">
      <c r="A612" s="104"/>
      <c r="B612" s="104"/>
      <c r="C612" s="104"/>
      <c r="D612" s="104"/>
      <c r="E612" s="104"/>
      <c r="F612" s="193"/>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row>
    <row r="613" spans="1:30" ht="12.75">
      <c r="A613" s="104"/>
      <c r="B613" s="104"/>
      <c r="C613" s="104"/>
      <c r="D613" s="104"/>
      <c r="E613" s="104"/>
      <c r="F613" s="193"/>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row>
    <row r="614" spans="1:30" ht="12.75">
      <c r="A614" s="104"/>
      <c r="B614" s="104"/>
      <c r="C614" s="104"/>
      <c r="D614" s="104"/>
      <c r="E614" s="104"/>
      <c r="F614" s="193"/>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row>
    <row r="615" spans="1:30" ht="12.75">
      <c r="A615" s="104"/>
      <c r="B615" s="104"/>
      <c r="C615" s="104"/>
      <c r="D615" s="104"/>
      <c r="E615" s="104"/>
      <c r="F615" s="193"/>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row>
    <row r="616" spans="1:30" ht="12.75">
      <c r="A616" s="104"/>
      <c r="B616" s="104"/>
      <c r="C616" s="104"/>
      <c r="D616" s="104"/>
      <c r="E616" s="104"/>
      <c r="F616" s="193"/>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row>
    <row r="617" spans="1:30" ht="12.75">
      <c r="A617" s="104"/>
      <c r="B617" s="104"/>
      <c r="C617" s="104"/>
      <c r="D617" s="104"/>
      <c r="E617" s="104"/>
      <c r="F617" s="193"/>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row>
    <row r="618" spans="1:30" ht="12.75">
      <c r="A618" s="104"/>
      <c r="B618" s="104"/>
      <c r="C618" s="104"/>
      <c r="D618" s="104"/>
      <c r="E618" s="104"/>
      <c r="F618" s="193"/>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row>
    <row r="619" spans="1:30" ht="12.75">
      <c r="A619" s="104"/>
      <c r="B619" s="104"/>
      <c r="C619" s="104"/>
      <c r="D619" s="104"/>
      <c r="E619" s="104"/>
      <c r="F619" s="193"/>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row>
    <row r="620" spans="1:30" ht="12.75">
      <c r="A620" s="104"/>
      <c r="B620" s="104"/>
      <c r="C620" s="104"/>
      <c r="D620" s="104"/>
      <c r="E620" s="104"/>
      <c r="F620" s="193"/>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row>
    <row r="621" spans="1:30" ht="12.75">
      <c r="A621" s="104"/>
      <c r="B621" s="104"/>
      <c r="C621" s="104"/>
      <c r="D621" s="104"/>
      <c r="E621" s="104"/>
      <c r="F621" s="193"/>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row>
    <row r="622" spans="1:30" ht="12.75">
      <c r="A622" s="104"/>
      <c r="B622" s="104"/>
      <c r="C622" s="104"/>
      <c r="D622" s="104"/>
      <c r="E622" s="104"/>
      <c r="F622" s="193"/>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row>
    <row r="623" spans="1:30" ht="12.75">
      <c r="A623" s="104"/>
      <c r="B623" s="104"/>
      <c r="C623" s="104"/>
      <c r="D623" s="104"/>
      <c r="E623" s="104"/>
      <c r="F623" s="193"/>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row>
    <row r="624" spans="1:30" ht="12.75">
      <c r="A624" s="104"/>
      <c r="B624" s="104"/>
      <c r="C624" s="104"/>
      <c r="D624" s="104"/>
      <c r="E624" s="104"/>
      <c r="F624" s="193"/>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row>
    <row r="625" spans="1:30" ht="12.75">
      <c r="A625" s="104"/>
      <c r="B625" s="104"/>
      <c r="C625" s="104"/>
      <c r="D625" s="104"/>
      <c r="E625" s="104"/>
      <c r="F625" s="193"/>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row>
    <row r="626" spans="1:30" ht="12.75">
      <c r="A626" s="104"/>
      <c r="B626" s="104"/>
      <c r="C626" s="104"/>
      <c r="D626" s="104"/>
      <c r="E626" s="104"/>
      <c r="F626" s="193"/>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row>
    <row r="627" spans="1:30" ht="12.75">
      <c r="A627" s="104"/>
      <c r="B627" s="104"/>
      <c r="C627" s="104"/>
      <c r="D627" s="104"/>
      <c r="E627" s="104"/>
      <c r="F627" s="193"/>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row>
    <row r="628" spans="1:30" ht="12.75">
      <c r="A628" s="104"/>
      <c r="B628" s="104"/>
      <c r="C628" s="104"/>
      <c r="D628" s="104"/>
      <c r="E628" s="104"/>
      <c r="F628" s="193"/>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row>
    <row r="629" spans="1:30" ht="12.75">
      <c r="A629" s="104"/>
      <c r="B629" s="104"/>
      <c r="C629" s="104"/>
      <c r="D629" s="104"/>
      <c r="E629" s="104"/>
      <c r="F629" s="193"/>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row>
    <row r="630" spans="1:30" ht="12.75">
      <c r="A630" s="104"/>
      <c r="B630" s="104"/>
      <c r="C630" s="104"/>
      <c r="D630" s="104"/>
      <c r="E630" s="104"/>
      <c r="F630" s="193"/>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row>
    <row r="631" spans="1:30" ht="12.75">
      <c r="A631" s="104"/>
      <c r="B631" s="104"/>
      <c r="C631" s="104"/>
      <c r="D631" s="104"/>
      <c r="E631" s="104"/>
      <c r="F631" s="193"/>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row>
    <row r="632" spans="1:30" ht="12.75">
      <c r="A632" s="104"/>
      <c r="B632" s="104"/>
      <c r="C632" s="104"/>
      <c r="D632" s="104"/>
      <c r="E632" s="104"/>
      <c r="F632" s="193"/>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row>
    <row r="633" spans="1:30" ht="12.75">
      <c r="A633" s="104"/>
      <c r="B633" s="104"/>
      <c r="C633" s="104"/>
      <c r="D633" s="104"/>
      <c r="E633" s="104"/>
      <c r="F633" s="193"/>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row>
    <row r="634" spans="1:30" ht="12.75">
      <c r="A634" s="104"/>
      <c r="B634" s="104"/>
      <c r="C634" s="104"/>
      <c r="D634" s="104"/>
      <c r="E634" s="104"/>
      <c r="F634" s="193"/>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row>
    <row r="635" spans="1:30" ht="12.75">
      <c r="A635" s="104"/>
      <c r="B635" s="104"/>
      <c r="C635" s="104"/>
      <c r="D635" s="104"/>
      <c r="E635" s="104"/>
      <c r="F635" s="193"/>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row>
    <row r="636" spans="1:30" ht="12.75">
      <c r="A636" s="104"/>
      <c r="B636" s="104"/>
      <c r="C636" s="104"/>
      <c r="D636" s="104"/>
      <c r="E636" s="104"/>
      <c r="F636" s="193"/>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row>
    <row r="637" spans="1:30" ht="12.75">
      <c r="A637" s="104"/>
      <c r="B637" s="104"/>
      <c r="C637" s="104"/>
      <c r="D637" s="104"/>
      <c r="E637" s="104"/>
      <c r="F637" s="193"/>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row>
    <row r="638" spans="1:30" ht="12.75">
      <c r="A638" s="104"/>
      <c r="B638" s="104"/>
      <c r="C638" s="104"/>
      <c r="D638" s="104"/>
      <c r="E638" s="104"/>
      <c r="F638" s="193"/>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row>
    <row r="639" spans="1:30" ht="12.75">
      <c r="A639" s="104"/>
      <c r="B639" s="104"/>
      <c r="C639" s="104"/>
      <c r="D639" s="104"/>
      <c r="E639" s="104"/>
      <c r="F639" s="193"/>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row>
    <row r="640" spans="1:30" ht="12.75">
      <c r="A640" s="104"/>
      <c r="B640" s="104"/>
      <c r="C640" s="104"/>
      <c r="D640" s="104"/>
      <c r="E640" s="104"/>
      <c r="F640" s="193"/>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row>
    <row r="641" spans="1:30" ht="12.75">
      <c r="A641" s="104"/>
      <c r="B641" s="104"/>
      <c r="C641" s="104"/>
      <c r="D641" s="104"/>
      <c r="E641" s="104"/>
      <c r="F641" s="193"/>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row>
    <row r="642" spans="1:30" ht="12.75">
      <c r="A642" s="104"/>
      <c r="B642" s="104"/>
      <c r="C642" s="104"/>
      <c r="D642" s="104"/>
      <c r="E642" s="104"/>
      <c r="F642" s="193"/>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row>
    <row r="643" spans="1:30" ht="12.75">
      <c r="A643" s="104"/>
      <c r="B643" s="104"/>
      <c r="C643" s="104"/>
      <c r="D643" s="104"/>
      <c r="E643" s="104"/>
      <c r="F643" s="193"/>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row>
    <row r="644" spans="1:30" ht="12.75">
      <c r="A644" s="104"/>
      <c r="B644" s="104"/>
      <c r="C644" s="104"/>
      <c r="D644" s="104"/>
      <c r="E644" s="104"/>
      <c r="F644" s="193"/>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row>
    <row r="645" spans="1:30" ht="12.75">
      <c r="A645" s="104"/>
      <c r="B645" s="104"/>
      <c r="C645" s="104"/>
      <c r="D645" s="104"/>
      <c r="E645" s="104"/>
      <c r="F645" s="193"/>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row>
    <row r="646" spans="1:30" ht="12.75">
      <c r="A646" s="104"/>
      <c r="B646" s="104"/>
      <c r="C646" s="104"/>
      <c r="D646" s="104"/>
      <c r="E646" s="104"/>
      <c r="F646" s="193"/>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row>
    <row r="647" spans="1:30" ht="12.75">
      <c r="A647" s="104"/>
      <c r="B647" s="104"/>
      <c r="C647" s="104"/>
      <c r="D647" s="104"/>
      <c r="E647" s="104"/>
      <c r="F647" s="193"/>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row>
    <row r="648" spans="1:30" ht="12.75">
      <c r="A648" s="104"/>
      <c r="B648" s="104"/>
      <c r="C648" s="104"/>
      <c r="D648" s="104"/>
      <c r="E648" s="104"/>
      <c r="F648" s="193"/>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row>
    <row r="649" spans="1:30" ht="12.75">
      <c r="A649" s="104"/>
      <c r="B649" s="104"/>
      <c r="C649" s="104"/>
      <c r="D649" s="104"/>
      <c r="E649" s="104"/>
      <c r="F649" s="193"/>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row>
    <row r="650" spans="1:30" ht="12.75">
      <c r="A650" s="104"/>
      <c r="B650" s="104"/>
      <c r="C650" s="104"/>
      <c r="D650" s="104"/>
      <c r="E650" s="104"/>
      <c r="F650" s="193"/>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row>
    <row r="651" spans="1:30" ht="12.75">
      <c r="A651" s="104"/>
      <c r="B651" s="104"/>
      <c r="C651" s="104"/>
      <c r="D651" s="104"/>
      <c r="E651" s="104"/>
      <c r="F651" s="193"/>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row>
    <row r="652" spans="1:30" ht="12.75">
      <c r="A652" s="104"/>
      <c r="B652" s="104"/>
      <c r="C652" s="104"/>
      <c r="D652" s="104"/>
      <c r="E652" s="104"/>
      <c r="F652" s="193"/>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row>
    <row r="653" spans="1:30" ht="12.75">
      <c r="A653" s="104"/>
      <c r="B653" s="104"/>
      <c r="C653" s="104"/>
      <c r="D653" s="104"/>
      <c r="E653" s="104"/>
      <c r="F653" s="193"/>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row>
    <row r="654" spans="1:30" ht="12.75">
      <c r="A654" s="104"/>
      <c r="B654" s="104"/>
      <c r="C654" s="104"/>
      <c r="D654" s="104"/>
      <c r="E654" s="104"/>
      <c r="F654" s="193"/>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row>
    <row r="655" spans="1:30" ht="12.75">
      <c r="A655" s="104"/>
      <c r="B655" s="104"/>
      <c r="C655" s="104"/>
      <c r="D655" s="104"/>
      <c r="E655" s="104"/>
      <c r="F655" s="193"/>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row>
    <row r="656" spans="1:30" ht="12.75">
      <c r="A656" s="104"/>
      <c r="B656" s="104"/>
      <c r="C656" s="104"/>
      <c r="D656" s="104"/>
      <c r="E656" s="104"/>
      <c r="F656" s="193"/>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row>
    <row r="657" spans="1:30" ht="12.75">
      <c r="A657" s="104"/>
      <c r="B657" s="104"/>
      <c r="C657" s="104"/>
      <c r="D657" s="104"/>
      <c r="E657" s="104"/>
      <c r="F657" s="193"/>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row>
    <row r="658" spans="1:30" ht="12.75">
      <c r="A658" s="104"/>
      <c r="B658" s="104"/>
      <c r="C658" s="104"/>
      <c r="D658" s="104"/>
      <c r="E658" s="104"/>
      <c r="F658" s="193"/>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row>
    <row r="659" spans="1:30" ht="12.75">
      <c r="A659" s="104"/>
      <c r="B659" s="104"/>
      <c r="C659" s="104"/>
      <c r="D659" s="104"/>
      <c r="E659" s="104"/>
      <c r="F659" s="193"/>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row>
    <row r="660" spans="1:30" ht="12.75">
      <c r="A660" s="104"/>
      <c r="B660" s="104"/>
      <c r="C660" s="104"/>
      <c r="D660" s="104"/>
      <c r="E660" s="104"/>
      <c r="F660" s="193"/>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row>
    <row r="661" spans="1:30" ht="12.75">
      <c r="A661" s="104"/>
      <c r="B661" s="104"/>
      <c r="C661" s="104"/>
      <c r="D661" s="104"/>
      <c r="E661" s="104"/>
      <c r="F661" s="193"/>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row>
    <row r="662" spans="1:30" ht="12.75">
      <c r="A662" s="104"/>
      <c r="B662" s="104"/>
      <c r="C662" s="104"/>
      <c r="D662" s="104"/>
      <c r="E662" s="104"/>
      <c r="F662" s="193"/>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row>
    <row r="663" spans="1:30" ht="12.75">
      <c r="A663" s="104"/>
      <c r="B663" s="104"/>
      <c r="C663" s="104"/>
      <c r="D663" s="104"/>
      <c r="E663" s="104"/>
      <c r="F663" s="193"/>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row>
    <row r="664" spans="1:30" ht="12.75">
      <c r="A664" s="104"/>
      <c r="B664" s="104"/>
      <c r="C664" s="104"/>
      <c r="D664" s="104"/>
      <c r="E664" s="104"/>
      <c r="F664" s="193"/>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row>
    <row r="665" spans="1:30" ht="12.75">
      <c r="A665" s="104"/>
      <c r="B665" s="104"/>
      <c r="C665" s="104"/>
      <c r="D665" s="104"/>
      <c r="E665" s="104"/>
      <c r="F665" s="193"/>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row>
    <row r="666" spans="1:30" ht="12.75">
      <c r="A666" s="104"/>
      <c r="B666" s="104"/>
      <c r="C666" s="104"/>
      <c r="D666" s="104"/>
      <c r="E666" s="104"/>
      <c r="F666" s="193"/>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row>
    <row r="667" spans="1:30" ht="12.75">
      <c r="A667" s="104"/>
      <c r="B667" s="104"/>
      <c r="C667" s="104"/>
      <c r="D667" s="104"/>
      <c r="E667" s="104"/>
      <c r="F667" s="193"/>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row>
    <row r="668" spans="1:30" ht="12.75">
      <c r="A668" s="104"/>
      <c r="B668" s="104"/>
      <c r="C668" s="104"/>
      <c r="D668" s="104"/>
      <c r="E668" s="104"/>
      <c r="F668" s="193"/>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row>
    <row r="669" spans="1:30" ht="12.75">
      <c r="A669" s="104"/>
      <c r="B669" s="104"/>
      <c r="C669" s="104"/>
      <c r="D669" s="104"/>
      <c r="E669" s="104"/>
      <c r="F669" s="193"/>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row>
    <row r="670" spans="1:30" ht="12.75">
      <c r="A670" s="104"/>
      <c r="B670" s="104"/>
      <c r="C670" s="104"/>
      <c r="D670" s="104"/>
      <c r="E670" s="104"/>
      <c r="F670" s="193"/>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row>
    <row r="671" spans="1:30" ht="12.75">
      <c r="A671" s="104"/>
      <c r="B671" s="104"/>
      <c r="C671" s="104"/>
      <c r="D671" s="104"/>
      <c r="E671" s="104"/>
      <c r="F671" s="193"/>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row>
    <row r="672" spans="1:30" ht="12.75">
      <c r="A672" s="104"/>
      <c r="B672" s="104"/>
      <c r="C672" s="104"/>
      <c r="D672" s="104"/>
      <c r="E672" s="104"/>
      <c r="F672" s="193"/>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row>
    <row r="673" spans="1:30" ht="12.75">
      <c r="A673" s="104"/>
      <c r="B673" s="104"/>
      <c r="C673" s="104"/>
      <c r="D673" s="104"/>
      <c r="E673" s="104"/>
      <c r="F673" s="193"/>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row>
    <row r="674" spans="1:30" ht="12.75">
      <c r="A674" s="104"/>
      <c r="B674" s="104"/>
      <c r="C674" s="104"/>
      <c r="D674" s="104"/>
      <c r="E674" s="104"/>
      <c r="F674" s="193"/>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row>
    <row r="675" spans="1:30" ht="12.75">
      <c r="A675" s="104"/>
      <c r="B675" s="104"/>
      <c r="C675" s="104"/>
      <c r="D675" s="104"/>
      <c r="E675" s="104"/>
      <c r="F675" s="193"/>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row>
    <row r="676" spans="1:30" ht="12.75">
      <c r="A676" s="104"/>
      <c r="B676" s="104"/>
      <c r="C676" s="104"/>
      <c r="D676" s="104"/>
      <c r="E676" s="104"/>
      <c r="F676" s="193"/>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row>
    <row r="677" spans="1:30" ht="12.75">
      <c r="A677" s="104"/>
      <c r="B677" s="104"/>
      <c r="C677" s="104"/>
      <c r="D677" s="104"/>
      <c r="E677" s="104"/>
      <c r="F677" s="193"/>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row>
    <row r="678" spans="1:30" ht="12.75">
      <c r="A678" s="104"/>
      <c r="B678" s="104"/>
      <c r="C678" s="104"/>
      <c r="D678" s="104"/>
      <c r="E678" s="104"/>
      <c r="F678" s="193"/>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row>
    <row r="679" spans="1:30" ht="12.75">
      <c r="A679" s="104"/>
      <c r="B679" s="104"/>
      <c r="C679" s="104"/>
      <c r="D679" s="104"/>
      <c r="E679" s="104"/>
      <c r="F679" s="193"/>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row>
    <row r="680" spans="1:30" ht="12.75">
      <c r="A680" s="104"/>
      <c r="B680" s="104"/>
      <c r="C680" s="104"/>
      <c r="D680" s="104"/>
      <c r="E680" s="104"/>
      <c r="F680" s="193"/>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row>
    <row r="681" spans="1:30" ht="12.75">
      <c r="A681" s="104"/>
      <c r="B681" s="104"/>
      <c r="C681" s="104"/>
      <c r="D681" s="104"/>
      <c r="E681" s="104"/>
      <c r="F681" s="193"/>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row>
    <row r="682" spans="1:30" ht="12.75">
      <c r="A682" s="104"/>
      <c r="B682" s="104"/>
      <c r="C682" s="104"/>
      <c r="D682" s="104"/>
      <c r="E682" s="104"/>
      <c r="F682" s="193"/>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row>
    <row r="683" spans="1:30" ht="12.75">
      <c r="A683" s="104"/>
      <c r="B683" s="104"/>
      <c r="C683" s="104"/>
      <c r="D683" s="104"/>
      <c r="E683" s="104"/>
      <c r="F683" s="193"/>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row>
    <row r="684" spans="1:30" ht="12.75">
      <c r="A684" s="104"/>
      <c r="B684" s="104"/>
      <c r="C684" s="104"/>
      <c r="D684" s="104"/>
      <c r="E684" s="104"/>
      <c r="F684" s="193"/>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row>
    <row r="685" spans="1:30" ht="12.75">
      <c r="A685" s="104"/>
      <c r="B685" s="104"/>
      <c r="C685" s="104"/>
      <c r="D685" s="104"/>
      <c r="E685" s="104"/>
      <c r="F685" s="193"/>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row>
    <row r="686" spans="1:30" ht="12.75">
      <c r="A686" s="104"/>
      <c r="B686" s="104"/>
      <c r="C686" s="104"/>
      <c r="D686" s="104"/>
      <c r="E686" s="104"/>
      <c r="F686" s="193"/>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row>
    <row r="687" spans="1:30" ht="12.75">
      <c r="A687" s="104"/>
      <c r="B687" s="104"/>
      <c r="C687" s="104"/>
      <c r="D687" s="104"/>
      <c r="E687" s="104"/>
      <c r="F687" s="193"/>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row>
    <row r="688" spans="1:30" ht="12.75">
      <c r="A688" s="104"/>
      <c r="B688" s="104"/>
      <c r="C688" s="104"/>
      <c r="D688" s="104"/>
      <c r="E688" s="104"/>
      <c r="F688" s="193"/>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row>
    <row r="689" spans="1:30" ht="12.75">
      <c r="A689" s="104"/>
      <c r="B689" s="104"/>
      <c r="C689" s="104"/>
      <c r="D689" s="104"/>
      <c r="E689" s="104"/>
      <c r="F689" s="193"/>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row>
    <row r="690" spans="1:30" ht="12.75">
      <c r="A690" s="104"/>
      <c r="B690" s="104"/>
      <c r="C690" s="104"/>
      <c r="D690" s="104"/>
      <c r="E690" s="104"/>
      <c r="F690" s="193"/>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row>
    <row r="691" spans="1:30" ht="12.75">
      <c r="A691" s="104"/>
      <c r="B691" s="104"/>
      <c r="C691" s="104"/>
      <c r="D691" s="104"/>
      <c r="E691" s="104"/>
      <c r="F691" s="193"/>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row>
    <row r="692" spans="1:30" ht="12.75">
      <c r="A692" s="104"/>
      <c r="B692" s="104"/>
      <c r="C692" s="104"/>
      <c r="D692" s="104"/>
      <c r="E692" s="104"/>
      <c r="F692" s="193"/>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row>
    <row r="693" spans="1:30" ht="12.75">
      <c r="A693" s="104"/>
      <c r="B693" s="104"/>
      <c r="C693" s="104"/>
      <c r="D693" s="104"/>
      <c r="E693" s="104"/>
      <c r="F693" s="193"/>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row>
    <row r="694" spans="1:30" ht="12.75">
      <c r="A694" s="104"/>
      <c r="B694" s="104"/>
      <c r="C694" s="104"/>
      <c r="D694" s="104"/>
      <c r="E694" s="104"/>
      <c r="F694" s="193"/>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row>
    <row r="695" spans="1:30" ht="12.75">
      <c r="A695" s="104"/>
      <c r="B695" s="104"/>
      <c r="C695" s="104"/>
      <c r="D695" s="104"/>
      <c r="E695" s="104"/>
      <c r="F695" s="193"/>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row>
    <row r="696" spans="1:30" ht="12.75">
      <c r="A696" s="104"/>
      <c r="B696" s="104"/>
      <c r="C696" s="104"/>
      <c r="D696" s="104"/>
      <c r="E696" s="104"/>
      <c r="F696" s="193"/>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row>
    <row r="697" spans="1:30" ht="12.75">
      <c r="A697" s="104"/>
      <c r="B697" s="104"/>
      <c r="C697" s="104"/>
      <c r="D697" s="104"/>
      <c r="E697" s="104"/>
      <c r="F697" s="193"/>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row>
    <row r="698" spans="1:30" ht="12.75">
      <c r="A698" s="104"/>
      <c r="B698" s="104"/>
      <c r="C698" s="104"/>
      <c r="D698" s="104"/>
      <c r="E698" s="104"/>
      <c r="F698" s="193"/>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row>
    <row r="699" spans="1:30" ht="12.75">
      <c r="A699" s="104"/>
      <c r="B699" s="104"/>
      <c r="C699" s="104"/>
      <c r="D699" s="104"/>
      <c r="E699" s="104"/>
      <c r="F699" s="193"/>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row>
    <row r="700" spans="1:30" ht="12.75">
      <c r="A700" s="104"/>
      <c r="B700" s="104"/>
      <c r="C700" s="104"/>
      <c r="D700" s="104"/>
      <c r="E700" s="104"/>
      <c r="F700" s="193"/>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row>
    <row r="701" spans="1:30" ht="12.75">
      <c r="A701" s="104"/>
      <c r="B701" s="104"/>
      <c r="C701" s="104"/>
      <c r="D701" s="104"/>
      <c r="E701" s="104"/>
      <c r="F701" s="193"/>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row>
    <row r="702" spans="1:30" ht="12.75">
      <c r="A702" s="104"/>
      <c r="B702" s="104"/>
      <c r="C702" s="104"/>
      <c r="D702" s="104"/>
      <c r="E702" s="104"/>
      <c r="F702" s="193"/>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row>
    <row r="703" spans="1:30" ht="12.75">
      <c r="A703" s="104"/>
      <c r="B703" s="104"/>
      <c r="C703" s="104"/>
      <c r="D703" s="104"/>
      <c r="E703" s="104"/>
      <c r="F703" s="193"/>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row>
    <row r="704" spans="1:30" ht="12.75">
      <c r="A704" s="104"/>
      <c r="B704" s="104"/>
      <c r="C704" s="104"/>
      <c r="D704" s="104"/>
      <c r="E704" s="104"/>
      <c r="F704" s="193"/>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row>
    <row r="705" spans="1:30" ht="12.75">
      <c r="A705" s="104"/>
      <c r="B705" s="104"/>
      <c r="C705" s="104"/>
      <c r="D705" s="104"/>
      <c r="E705" s="104"/>
      <c r="F705" s="193"/>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row>
    <row r="706" spans="1:30" ht="12.75">
      <c r="A706" s="104"/>
      <c r="B706" s="104"/>
      <c r="C706" s="104"/>
      <c r="D706" s="104"/>
      <c r="E706" s="104"/>
      <c r="F706" s="193"/>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row>
    <row r="707" spans="1:30" ht="12.75">
      <c r="A707" s="104"/>
      <c r="B707" s="104"/>
      <c r="C707" s="104"/>
      <c r="D707" s="104"/>
      <c r="E707" s="104"/>
      <c r="F707" s="193"/>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row>
    <row r="708" spans="1:30" ht="12.75">
      <c r="A708" s="104"/>
      <c r="B708" s="104"/>
      <c r="C708" s="104"/>
      <c r="D708" s="104"/>
      <c r="E708" s="104"/>
      <c r="F708" s="193"/>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row>
    <row r="709" spans="1:30" ht="12.75">
      <c r="A709" s="104"/>
      <c r="B709" s="104"/>
      <c r="C709" s="104"/>
      <c r="D709" s="104"/>
      <c r="E709" s="104"/>
      <c r="F709" s="193"/>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row>
    <row r="710" spans="1:30" ht="12.75">
      <c r="A710" s="104"/>
      <c r="B710" s="104"/>
      <c r="C710" s="104"/>
      <c r="D710" s="104"/>
      <c r="E710" s="104"/>
      <c r="F710" s="193"/>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row>
    <row r="711" spans="1:30" ht="12.75">
      <c r="A711" s="104"/>
      <c r="B711" s="104"/>
      <c r="C711" s="104"/>
      <c r="D711" s="104"/>
      <c r="E711" s="104"/>
      <c r="F711" s="193"/>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row>
    <row r="712" spans="1:30" ht="12.75">
      <c r="A712" s="104"/>
      <c r="B712" s="104"/>
      <c r="C712" s="104"/>
      <c r="D712" s="104"/>
      <c r="E712" s="104"/>
      <c r="F712" s="193"/>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row>
    <row r="713" spans="1:30" ht="12.75">
      <c r="A713" s="104"/>
      <c r="B713" s="104"/>
      <c r="C713" s="104"/>
      <c r="D713" s="104"/>
      <c r="E713" s="104"/>
      <c r="F713" s="193"/>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row>
    <row r="714" spans="1:30" ht="12.75">
      <c r="A714" s="104"/>
      <c r="B714" s="104"/>
      <c r="C714" s="104"/>
      <c r="D714" s="104"/>
      <c r="E714" s="104"/>
      <c r="F714" s="193"/>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row>
    <row r="715" spans="1:30" ht="12.75">
      <c r="A715" s="104"/>
      <c r="B715" s="104"/>
      <c r="C715" s="104"/>
      <c r="D715" s="104"/>
      <c r="E715" s="104"/>
      <c r="F715" s="193"/>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row>
    <row r="716" spans="1:30" ht="12.75">
      <c r="A716" s="104"/>
      <c r="B716" s="104"/>
      <c r="C716" s="104"/>
      <c r="D716" s="104"/>
      <c r="E716" s="104"/>
      <c r="F716" s="193"/>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row>
    <row r="717" spans="1:30" ht="12.75">
      <c r="A717" s="104"/>
      <c r="B717" s="104"/>
      <c r="C717" s="104"/>
      <c r="D717" s="104"/>
      <c r="E717" s="104"/>
      <c r="F717" s="193"/>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row>
    <row r="718" spans="1:30" ht="12.75">
      <c r="A718" s="104"/>
      <c r="B718" s="104"/>
      <c r="C718" s="104"/>
      <c r="D718" s="104"/>
      <c r="E718" s="104"/>
      <c r="F718" s="193"/>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row>
    <row r="719" spans="1:30" ht="12.75">
      <c r="A719" s="104"/>
      <c r="B719" s="104"/>
      <c r="C719" s="104"/>
      <c r="D719" s="104"/>
      <c r="E719" s="104"/>
      <c r="F719" s="193"/>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row>
    <row r="720" spans="1:30" ht="12.75">
      <c r="A720" s="104"/>
      <c r="B720" s="104"/>
      <c r="C720" s="104"/>
      <c r="D720" s="104"/>
      <c r="E720" s="104"/>
      <c r="F720" s="193"/>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row>
    <row r="721" spans="1:30" ht="12.75">
      <c r="A721" s="104"/>
      <c r="B721" s="104"/>
      <c r="C721" s="104"/>
      <c r="D721" s="104"/>
      <c r="E721" s="104"/>
      <c r="F721" s="193"/>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row>
    <row r="722" spans="1:30" ht="12.75">
      <c r="A722" s="104"/>
      <c r="B722" s="104"/>
      <c r="C722" s="104"/>
      <c r="D722" s="104"/>
      <c r="E722" s="104"/>
      <c r="F722" s="193"/>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row>
    <row r="723" spans="1:30" ht="12.75">
      <c r="A723" s="104"/>
      <c r="B723" s="104"/>
      <c r="C723" s="104"/>
      <c r="D723" s="104"/>
      <c r="E723" s="104"/>
      <c r="F723" s="193"/>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row>
    <row r="724" spans="1:30" ht="12.75">
      <c r="A724" s="104"/>
      <c r="B724" s="104"/>
      <c r="C724" s="104"/>
      <c r="D724" s="104"/>
      <c r="E724" s="104"/>
      <c r="F724" s="193"/>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row>
    <row r="725" spans="1:30" ht="12.75">
      <c r="A725" s="104"/>
      <c r="B725" s="104"/>
      <c r="C725" s="104"/>
      <c r="D725" s="104"/>
      <c r="E725" s="104"/>
      <c r="F725" s="193"/>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row>
    <row r="726" spans="1:30" ht="12.75">
      <c r="A726" s="104"/>
      <c r="B726" s="104"/>
      <c r="C726" s="104"/>
      <c r="D726" s="104"/>
      <c r="E726" s="104"/>
      <c r="F726" s="193"/>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row>
    <row r="727" spans="1:30" ht="12.75">
      <c r="A727" s="104"/>
      <c r="B727" s="104"/>
      <c r="C727" s="104"/>
      <c r="D727" s="104"/>
      <c r="E727" s="104"/>
      <c r="F727" s="193"/>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row>
    <row r="728" spans="1:30" ht="12.75">
      <c r="A728" s="104"/>
      <c r="B728" s="104"/>
      <c r="C728" s="104"/>
      <c r="D728" s="104"/>
      <c r="E728" s="104"/>
      <c r="F728" s="193"/>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row>
    <row r="729" spans="1:30" ht="12.75">
      <c r="A729" s="104"/>
      <c r="B729" s="104"/>
      <c r="C729" s="104"/>
      <c r="D729" s="104"/>
      <c r="E729" s="104"/>
      <c r="F729" s="193"/>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row>
    <row r="730" spans="1:30" ht="12.75">
      <c r="A730" s="104"/>
      <c r="B730" s="104"/>
      <c r="C730" s="104"/>
      <c r="D730" s="104"/>
      <c r="E730" s="104"/>
      <c r="F730" s="193"/>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row>
    <row r="731" spans="1:30" ht="12.75">
      <c r="A731" s="104"/>
      <c r="B731" s="104"/>
      <c r="C731" s="104"/>
      <c r="D731" s="104"/>
      <c r="E731" s="104"/>
      <c r="F731" s="193"/>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row>
    <row r="732" spans="1:30" ht="12.75">
      <c r="A732" s="104"/>
      <c r="B732" s="104"/>
      <c r="C732" s="104"/>
      <c r="D732" s="104"/>
      <c r="E732" s="104"/>
      <c r="F732" s="193"/>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row>
    <row r="733" spans="1:30" ht="12.75">
      <c r="A733" s="104"/>
      <c r="B733" s="104"/>
      <c r="C733" s="104"/>
      <c r="D733" s="104"/>
      <c r="E733" s="104"/>
      <c r="F733" s="193"/>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row>
    <row r="734" spans="1:30" ht="12.75">
      <c r="A734" s="104"/>
      <c r="B734" s="104"/>
      <c r="C734" s="104"/>
      <c r="D734" s="104"/>
      <c r="E734" s="104"/>
      <c r="F734" s="193"/>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row>
    <row r="735" spans="1:30" ht="12.75">
      <c r="A735" s="104"/>
      <c r="B735" s="104"/>
      <c r="C735" s="104"/>
      <c r="D735" s="104"/>
      <c r="E735" s="104"/>
      <c r="F735" s="193"/>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row>
    <row r="736" spans="1:30" ht="12.75">
      <c r="A736" s="104"/>
      <c r="B736" s="104"/>
      <c r="C736" s="104"/>
      <c r="D736" s="104"/>
      <c r="E736" s="104"/>
      <c r="F736" s="193"/>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row>
    <row r="737" spans="1:30" ht="12.75">
      <c r="A737" s="104"/>
      <c r="B737" s="104"/>
      <c r="C737" s="104"/>
      <c r="D737" s="104"/>
      <c r="E737" s="104"/>
      <c r="F737" s="193"/>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row>
    <row r="738" spans="1:30" ht="12.75">
      <c r="A738" s="104"/>
      <c r="B738" s="104"/>
      <c r="C738" s="104"/>
      <c r="D738" s="104"/>
      <c r="E738" s="104"/>
      <c r="F738" s="193"/>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row>
    <row r="739" spans="1:30" ht="12.75">
      <c r="A739" s="104"/>
      <c r="B739" s="104"/>
      <c r="C739" s="104"/>
      <c r="D739" s="104"/>
      <c r="E739" s="104"/>
      <c r="F739" s="193"/>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row>
    <row r="740" spans="1:30" ht="12.75">
      <c r="A740" s="104"/>
      <c r="B740" s="104"/>
      <c r="C740" s="104"/>
      <c r="D740" s="104"/>
      <c r="E740" s="104"/>
      <c r="F740" s="193"/>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row>
    <row r="741" spans="1:30" ht="12.75">
      <c r="A741" s="104"/>
      <c r="B741" s="104"/>
      <c r="C741" s="104"/>
      <c r="D741" s="104"/>
      <c r="E741" s="104"/>
      <c r="F741" s="193"/>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row>
    <row r="742" spans="1:30" ht="12.75">
      <c r="A742" s="104"/>
      <c r="B742" s="104"/>
      <c r="C742" s="104"/>
      <c r="D742" s="104"/>
      <c r="E742" s="104"/>
      <c r="F742" s="193"/>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row>
    <row r="743" spans="1:30" ht="12.75">
      <c r="A743" s="104"/>
      <c r="B743" s="104"/>
      <c r="C743" s="104"/>
      <c r="D743" s="104"/>
      <c r="E743" s="104"/>
      <c r="F743" s="193"/>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row>
    <row r="744" spans="1:30" ht="12.75">
      <c r="A744" s="104"/>
      <c r="B744" s="104"/>
      <c r="C744" s="104"/>
      <c r="D744" s="104"/>
      <c r="E744" s="104"/>
      <c r="F744" s="193"/>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row>
    <row r="745" spans="1:30" ht="12.75">
      <c r="A745" s="104"/>
      <c r="B745" s="104"/>
      <c r="C745" s="104"/>
      <c r="D745" s="104"/>
      <c r="E745" s="104"/>
      <c r="F745" s="193"/>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row>
    <row r="746" spans="1:30" ht="12.75">
      <c r="A746" s="104"/>
      <c r="B746" s="104"/>
      <c r="C746" s="104"/>
      <c r="D746" s="104"/>
      <c r="E746" s="104"/>
      <c r="F746" s="193"/>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row>
    <row r="747" spans="1:30" ht="12.75">
      <c r="A747" s="104"/>
      <c r="B747" s="104"/>
      <c r="C747" s="104"/>
      <c r="D747" s="104"/>
      <c r="E747" s="104"/>
      <c r="F747" s="193"/>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row>
    <row r="748" spans="1:30" ht="12.75">
      <c r="A748" s="104"/>
      <c r="B748" s="104"/>
      <c r="C748" s="104"/>
      <c r="D748" s="104"/>
      <c r="E748" s="104"/>
      <c r="F748" s="193"/>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row>
    <row r="749" spans="1:30" ht="12.75">
      <c r="A749" s="104"/>
      <c r="B749" s="104"/>
      <c r="C749" s="104"/>
      <c r="D749" s="104"/>
      <c r="E749" s="104"/>
      <c r="F749" s="193"/>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row>
    <row r="750" spans="1:30" ht="12.75">
      <c r="A750" s="104"/>
      <c r="B750" s="104"/>
      <c r="C750" s="104"/>
      <c r="D750" s="104"/>
      <c r="E750" s="104"/>
      <c r="F750" s="193"/>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row>
    <row r="751" spans="1:30" ht="12.75">
      <c r="A751" s="104"/>
      <c r="B751" s="104"/>
      <c r="C751" s="104"/>
      <c r="D751" s="104"/>
      <c r="E751" s="104"/>
      <c r="F751" s="193"/>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row>
    <row r="752" spans="1:30" ht="12.75">
      <c r="A752" s="104"/>
      <c r="B752" s="104"/>
      <c r="C752" s="104"/>
      <c r="D752" s="104"/>
      <c r="E752" s="104"/>
      <c r="F752" s="193"/>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row>
    <row r="753" spans="1:30" ht="12.75">
      <c r="A753" s="104"/>
      <c r="B753" s="104"/>
      <c r="C753" s="104"/>
      <c r="D753" s="104"/>
      <c r="E753" s="104"/>
      <c r="F753" s="193"/>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row>
    <row r="754" spans="1:30" ht="12.75">
      <c r="A754" s="104"/>
      <c r="B754" s="104"/>
      <c r="C754" s="104"/>
      <c r="D754" s="104"/>
      <c r="E754" s="104"/>
      <c r="F754" s="193"/>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row>
    <row r="755" spans="1:30" ht="12.75">
      <c r="A755" s="104"/>
      <c r="B755" s="104"/>
      <c r="C755" s="104"/>
      <c r="D755" s="104"/>
      <c r="E755" s="104"/>
      <c r="F755" s="193"/>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row>
    <row r="756" spans="1:30" ht="12.75">
      <c r="A756" s="104"/>
      <c r="B756" s="104"/>
      <c r="C756" s="104"/>
      <c r="D756" s="104"/>
      <c r="E756" s="104"/>
      <c r="F756" s="193"/>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row>
    <row r="757" spans="1:30" ht="12.75">
      <c r="A757" s="104"/>
      <c r="B757" s="104"/>
      <c r="C757" s="104"/>
      <c r="D757" s="104"/>
      <c r="E757" s="104"/>
      <c r="F757" s="193"/>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row>
    <row r="758" spans="1:30" ht="12.75">
      <c r="A758" s="104"/>
      <c r="B758" s="104"/>
      <c r="C758" s="104"/>
      <c r="D758" s="104"/>
      <c r="E758" s="104"/>
      <c r="F758" s="193"/>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row>
    <row r="759" spans="1:30" ht="12.75">
      <c r="A759" s="104"/>
      <c r="B759" s="104"/>
      <c r="C759" s="104"/>
      <c r="D759" s="104"/>
      <c r="E759" s="104"/>
      <c r="F759" s="193"/>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row>
    <row r="760" spans="1:30" ht="12.75">
      <c r="A760" s="104"/>
      <c r="B760" s="104"/>
      <c r="C760" s="104"/>
      <c r="D760" s="104"/>
      <c r="E760" s="104"/>
      <c r="F760" s="193"/>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row>
    <row r="761" spans="1:30" ht="12.75">
      <c r="A761" s="104"/>
      <c r="B761" s="104"/>
      <c r="C761" s="104"/>
      <c r="D761" s="104"/>
      <c r="E761" s="104"/>
      <c r="F761" s="193"/>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row>
    <row r="762" spans="1:30" ht="12.75">
      <c r="A762" s="104"/>
      <c r="B762" s="104"/>
      <c r="C762" s="104"/>
      <c r="D762" s="104"/>
      <c r="E762" s="104"/>
      <c r="F762" s="193"/>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row>
    <row r="763" spans="1:30" ht="12.75">
      <c r="A763" s="104"/>
      <c r="B763" s="104"/>
      <c r="C763" s="104"/>
      <c r="D763" s="104"/>
      <c r="E763" s="104"/>
      <c r="F763" s="193"/>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row>
    <row r="764" spans="1:30" ht="12.75">
      <c r="A764" s="104"/>
      <c r="B764" s="104"/>
      <c r="C764" s="104"/>
      <c r="D764" s="104"/>
      <c r="E764" s="104"/>
      <c r="F764" s="193"/>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row>
    <row r="765" spans="1:30" ht="12.75">
      <c r="A765" s="104"/>
      <c r="B765" s="104"/>
      <c r="C765" s="104"/>
      <c r="D765" s="104"/>
      <c r="E765" s="104"/>
      <c r="F765" s="193"/>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row>
    <row r="766" spans="1:30" ht="12.75">
      <c r="A766" s="104"/>
      <c r="B766" s="104"/>
      <c r="C766" s="104"/>
      <c r="D766" s="104"/>
      <c r="E766" s="104"/>
      <c r="F766" s="193"/>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row>
    <row r="767" spans="1:30" ht="12.75">
      <c r="A767" s="104"/>
      <c r="B767" s="104"/>
      <c r="C767" s="104"/>
      <c r="D767" s="104"/>
      <c r="E767" s="104"/>
      <c r="F767" s="193"/>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row>
    <row r="768" spans="1:30" ht="12.75">
      <c r="A768" s="104"/>
      <c r="B768" s="104"/>
      <c r="C768" s="104"/>
      <c r="D768" s="104"/>
      <c r="E768" s="104"/>
      <c r="F768" s="193"/>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row>
    <row r="769" spans="1:30" ht="12.75">
      <c r="A769" s="104"/>
      <c r="B769" s="104"/>
      <c r="C769" s="104"/>
      <c r="D769" s="104"/>
      <c r="E769" s="104"/>
      <c r="F769" s="193"/>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row>
    <row r="770" spans="1:30" ht="12.75">
      <c r="A770" s="104"/>
      <c r="B770" s="104"/>
      <c r="C770" s="104"/>
      <c r="D770" s="104"/>
      <c r="E770" s="104"/>
      <c r="F770" s="193"/>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row>
    <row r="771" spans="1:30" ht="12.75">
      <c r="A771" s="104"/>
      <c r="B771" s="104"/>
      <c r="C771" s="104"/>
      <c r="D771" s="104"/>
      <c r="E771" s="104"/>
      <c r="F771" s="193"/>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row>
    <row r="772" spans="1:30" ht="12.75">
      <c r="A772" s="104"/>
      <c r="B772" s="104"/>
      <c r="C772" s="104"/>
      <c r="D772" s="104"/>
      <c r="E772" s="104"/>
      <c r="F772" s="193"/>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row>
    <row r="773" spans="1:30" ht="12.75">
      <c r="A773" s="104"/>
      <c r="B773" s="104"/>
      <c r="C773" s="104"/>
      <c r="D773" s="104"/>
      <c r="E773" s="104"/>
      <c r="F773" s="193"/>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row>
    <row r="774" spans="1:30" ht="12.75">
      <c r="A774" s="104"/>
      <c r="B774" s="104"/>
      <c r="C774" s="104"/>
      <c r="D774" s="104"/>
      <c r="E774" s="104"/>
      <c r="F774" s="193"/>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row>
    <row r="775" spans="1:30" ht="12.75">
      <c r="A775" s="104"/>
      <c r="B775" s="104"/>
      <c r="C775" s="104"/>
      <c r="D775" s="104"/>
      <c r="E775" s="104"/>
      <c r="F775" s="193"/>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row>
    <row r="776" spans="1:30" ht="12.75">
      <c r="A776" s="104"/>
      <c r="B776" s="104"/>
      <c r="C776" s="104"/>
      <c r="D776" s="104"/>
      <c r="E776" s="104"/>
      <c r="F776" s="193"/>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row>
    <row r="777" spans="1:30" ht="12.75">
      <c r="A777" s="104"/>
      <c r="B777" s="104"/>
      <c r="C777" s="104"/>
      <c r="D777" s="104"/>
      <c r="E777" s="104"/>
      <c r="F777" s="193"/>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row>
    <row r="778" spans="1:30" ht="12.75">
      <c r="A778" s="104"/>
      <c r="B778" s="104"/>
      <c r="C778" s="104"/>
      <c r="D778" s="104"/>
      <c r="E778" s="104"/>
      <c r="F778" s="193"/>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row>
    <row r="779" spans="1:30" ht="12.75">
      <c r="A779" s="104"/>
      <c r="B779" s="104"/>
      <c r="C779" s="104"/>
      <c r="D779" s="104"/>
      <c r="E779" s="104"/>
      <c r="F779" s="193"/>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row>
    <row r="780" spans="1:30" ht="12.75">
      <c r="A780" s="104"/>
      <c r="B780" s="104"/>
      <c r="C780" s="104"/>
      <c r="D780" s="104"/>
      <c r="E780" s="104"/>
      <c r="F780" s="193"/>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row>
    <row r="781" spans="1:30" ht="12.75">
      <c r="A781" s="104"/>
      <c r="B781" s="104"/>
      <c r="C781" s="104"/>
      <c r="D781" s="104"/>
      <c r="E781" s="104"/>
      <c r="F781" s="193"/>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row>
    <row r="782" spans="1:30" ht="12.75">
      <c r="A782" s="104"/>
      <c r="B782" s="104"/>
      <c r="C782" s="104"/>
      <c r="D782" s="104"/>
      <c r="E782" s="104"/>
      <c r="F782" s="193"/>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row>
    <row r="783" spans="1:30" ht="12.75">
      <c r="A783" s="104"/>
      <c r="B783" s="104"/>
      <c r="C783" s="104"/>
      <c r="D783" s="104"/>
      <c r="E783" s="104"/>
      <c r="F783" s="193"/>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row>
    <row r="784" spans="1:30" ht="12.75">
      <c r="A784" s="104"/>
      <c r="B784" s="104"/>
      <c r="C784" s="104"/>
      <c r="D784" s="104"/>
      <c r="E784" s="104"/>
      <c r="F784" s="193"/>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row>
    <row r="785" spans="1:30" ht="12.75">
      <c r="A785" s="104"/>
      <c r="B785" s="104"/>
      <c r="C785" s="104"/>
      <c r="D785" s="104"/>
      <c r="E785" s="104"/>
      <c r="F785" s="193"/>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row>
    <row r="786" spans="1:30" ht="12.75">
      <c r="A786" s="104"/>
      <c r="B786" s="104"/>
      <c r="C786" s="104"/>
      <c r="D786" s="104"/>
      <c r="E786" s="104"/>
      <c r="F786" s="193"/>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row>
    <row r="787" spans="1:30" ht="12.75">
      <c r="A787" s="104"/>
      <c r="B787" s="104"/>
      <c r="C787" s="104"/>
      <c r="D787" s="104"/>
      <c r="E787" s="104"/>
      <c r="F787" s="193"/>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row>
    <row r="788" spans="1:30" ht="12.75">
      <c r="A788" s="104"/>
      <c r="B788" s="104"/>
      <c r="C788" s="104"/>
      <c r="D788" s="104"/>
      <c r="E788" s="104"/>
      <c r="F788" s="193"/>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row>
    <row r="789" spans="1:30" ht="12.75">
      <c r="A789" s="104"/>
      <c r="B789" s="104"/>
      <c r="C789" s="104"/>
      <c r="D789" s="104"/>
      <c r="E789" s="104"/>
      <c r="F789" s="193"/>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row>
    <row r="790" spans="1:30" ht="12.75">
      <c r="A790" s="104"/>
      <c r="B790" s="104"/>
      <c r="C790" s="104"/>
      <c r="D790" s="104"/>
      <c r="E790" s="104"/>
      <c r="F790" s="193"/>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row>
    <row r="791" spans="1:30" ht="12.75">
      <c r="A791" s="104"/>
      <c r="B791" s="104"/>
      <c r="C791" s="104"/>
      <c r="D791" s="104"/>
      <c r="E791" s="104"/>
      <c r="F791" s="193"/>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row>
    <row r="792" spans="1:30" ht="12.75">
      <c r="A792" s="104"/>
      <c r="B792" s="104"/>
      <c r="C792" s="104"/>
      <c r="D792" s="104"/>
      <c r="E792" s="104"/>
      <c r="F792" s="193"/>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row>
    <row r="793" spans="1:30" ht="12.75">
      <c r="A793" s="104"/>
      <c r="B793" s="104"/>
      <c r="C793" s="104"/>
      <c r="D793" s="104"/>
      <c r="E793" s="104"/>
      <c r="F793" s="193"/>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row>
    <row r="794" spans="1:30" ht="12.75">
      <c r="A794" s="104"/>
      <c r="B794" s="104"/>
      <c r="C794" s="104"/>
      <c r="D794" s="104"/>
      <c r="E794" s="104"/>
      <c r="F794" s="193"/>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row>
    <row r="795" spans="1:30" ht="12.75">
      <c r="A795" s="104"/>
      <c r="B795" s="104"/>
      <c r="C795" s="104"/>
      <c r="D795" s="104"/>
      <c r="E795" s="104"/>
      <c r="F795" s="193"/>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row>
    <row r="796" spans="1:30" ht="12.75">
      <c r="A796" s="104"/>
      <c r="B796" s="104"/>
      <c r="C796" s="104"/>
      <c r="D796" s="104"/>
      <c r="E796" s="104"/>
      <c r="F796" s="193"/>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row>
    <row r="797" spans="1:30" ht="12.75">
      <c r="A797" s="104"/>
      <c r="B797" s="104"/>
      <c r="C797" s="104"/>
      <c r="D797" s="104"/>
      <c r="E797" s="104"/>
      <c r="F797" s="193"/>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row>
    <row r="798" spans="1:30" ht="12.75">
      <c r="A798" s="104"/>
      <c r="B798" s="104"/>
      <c r="C798" s="104"/>
      <c r="D798" s="104"/>
      <c r="E798" s="104"/>
      <c r="F798" s="193"/>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row>
    <row r="799" spans="1:30" ht="12.75">
      <c r="A799" s="104"/>
      <c r="B799" s="104"/>
      <c r="C799" s="104"/>
      <c r="D799" s="104"/>
      <c r="E799" s="104"/>
      <c r="F799" s="193"/>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row>
    <row r="800" spans="1:30" ht="12.75">
      <c r="A800" s="104"/>
      <c r="B800" s="104"/>
      <c r="C800" s="104"/>
      <c r="D800" s="104"/>
      <c r="E800" s="104"/>
      <c r="F800" s="193"/>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row>
    <row r="801" spans="1:30" ht="12.75">
      <c r="A801" s="104"/>
      <c r="B801" s="104"/>
      <c r="C801" s="104"/>
      <c r="D801" s="104"/>
      <c r="E801" s="104"/>
      <c r="F801" s="193"/>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row>
    <row r="802" spans="1:30" ht="12.75">
      <c r="A802" s="104"/>
      <c r="B802" s="104"/>
      <c r="C802" s="104"/>
      <c r="D802" s="104"/>
      <c r="E802" s="104"/>
      <c r="F802" s="193"/>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row>
    <row r="803" spans="1:30" ht="12.75">
      <c r="A803" s="104"/>
      <c r="B803" s="104"/>
      <c r="C803" s="104"/>
      <c r="D803" s="104"/>
      <c r="E803" s="104"/>
      <c r="F803" s="193"/>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row>
    <row r="804" spans="1:30" ht="12.75">
      <c r="A804" s="104"/>
      <c r="B804" s="104"/>
      <c r="C804" s="104"/>
      <c r="D804" s="104"/>
      <c r="E804" s="104"/>
      <c r="F804" s="193"/>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row>
    <row r="805" spans="1:30" ht="12.75">
      <c r="A805" s="104"/>
      <c r="B805" s="104"/>
      <c r="C805" s="104"/>
      <c r="D805" s="104"/>
      <c r="E805" s="104"/>
      <c r="F805" s="193"/>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row>
    <row r="806" spans="1:30" ht="12.75">
      <c r="A806" s="104"/>
      <c r="B806" s="104"/>
      <c r="C806" s="104"/>
      <c r="D806" s="104"/>
      <c r="E806" s="104"/>
      <c r="F806" s="193"/>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row>
    <row r="807" spans="1:30" ht="12.75">
      <c r="A807" s="104"/>
      <c r="B807" s="104"/>
      <c r="C807" s="104"/>
      <c r="D807" s="104"/>
      <c r="E807" s="104"/>
      <c r="F807" s="193"/>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row>
    <row r="808" spans="1:30" ht="12.75">
      <c r="A808" s="104"/>
      <c r="B808" s="104"/>
      <c r="C808" s="104"/>
      <c r="D808" s="104"/>
      <c r="E808" s="104"/>
      <c r="F808" s="193"/>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row>
    <row r="809" spans="1:30" ht="12.75">
      <c r="A809" s="104"/>
      <c r="B809" s="104"/>
      <c r="C809" s="104"/>
      <c r="D809" s="104"/>
      <c r="E809" s="104"/>
      <c r="F809" s="193"/>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row>
    <row r="810" spans="1:30" ht="12.75">
      <c r="A810" s="104"/>
      <c r="B810" s="104"/>
      <c r="C810" s="104"/>
      <c r="D810" s="104"/>
      <c r="E810" s="104"/>
      <c r="F810" s="193"/>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row>
    <row r="811" spans="1:30" ht="12.75">
      <c r="A811" s="104"/>
      <c r="B811" s="104"/>
      <c r="C811" s="104"/>
      <c r="D811" s="104"/>
      <c r="E811" s="104"/>
      <c r="F811" s="193"/>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row>
    <row r="812" spans="1:30" ht="12.75">
      <c r="A812" s="104"/>
      <c r="B812" s="104"/>
      <c r="C812" s="104"/>
      <c r="D812" s="104"/>
      <c r="E812" s="104"/>
      <c r="F812" s="193"/>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row>
    <row r="813" spans="1:30" ht="12.75">
      <c r="A813" s="104"/>
      <c r="B813" s="104"/>
      <c r="C813" s="104"/>
      <c r="D813" s="104"/>
      <c r="E813" s="104"/>
      <c r="F813" s="193"/>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row>
    <row r="814" spans="1:30" ht="12.75">
      <c r="A814" s="104"/>
      <c r="B814" s="104"/>
      <c r="C814" s="104"/>
      <c r="D814" s="104"/>
      <c r="E814" s="104"/>
      <c r="F814" s="193"/>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row>
    <row r="815" spans="1:30" ht="12.75">
      <c r="A815" s="104"/>
      <c r="B815" s="104"/>
      <c r="C815" s="104"/>
      <c r="D815" s="104"/>
      <c r="E815" s="104"/>
      <c r="F815" s="193"/>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row>
    <row r="816" spans="1:30" ht="12.75">
      <c r="A816" s="104"/>
      <c r="B816" s="104"/>
      <c r="C816" s="104"/>
      <c r="D816" s="104"/>
      <c r="E816" s="104"/>
      <c r="F816" s="193"/>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row>
    <row r="817" spans="1:30" ht="12.75">
      <c r="A817" s="104"/>
      <c r="B817" s="104"/>
      <c r="C817" s="104"/>
      <c r="D817" s="104"/>
      <c r="E817" s="104"/>
      <c r="F817" s="193"/>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row>
    <row r="818" spans="1:30" ht="12.75">
      <c r="A818" s="104"/>
      <c r="B818" s="104"/>
      <c r="C818" s="104"/>
      <c r="D818" s="104"/>
      <c r="E818" s="104"/>
      <c r="F818" s="193"/>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row>
    <row r="819" spans="1:30" ht="12.75">
      <c r="A819" s="104"/>
      <c r="B819" s="104"/>
      <c r="C819" s="104"/>
      <c r="D819" s="104"/>
      <c r="E819" s="104"/>
      <c r="F819" s="193"/>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row>
    <row r="820" spans="1:30" ht="12.75">
      <c r="A820" s="104"/>
      <c r="B820" s="104"/>
      <c r="C820" s="104"/>
      <c r="D820" s="104"/>
      <c r="E820" s="104"/>
      <c r="F820" s="193"/>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row>
    <row r="821" spans="1:30" ht="12.75">
      <c r="A821" s="104"/>
      <c r="B821" s="104"/>
      <c r="C821" s="104"/>
      <c r="D821" s="104"/>
      <c r="E821" s="104"/>
      <c r="F821" s="193"/>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row>
    <row r="822" spans="1:30" ht="12.75">
      <c r="A822" s="104"/>
      <c r="B822" s="104"/>
      <c r="C822" s="104"/>
      <c r="D822" s="104"/>
      <c r="E822" s="104"/>
      <c r="F822" s="193"/>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row>
    <row r="823" spans="1:30" ht="12.75">
      <c r="A823" s="104"/>
      <c r="B823" s="104"/>
      <c r="C823" s="104"/>
      <c r="D823" s="104"/>
      <c r="E823" s="104"/>
      <c r="F823" s="193"/>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row>
    <row r="824" spans="1:30" ht="12.75">
      <c r="A824" s="104"/>
      <c r="B824" s="104"/>
      <c r="C824" s="104"/>
      <c r="D824" s="104"/>
      <c r="E824" s="104"/>
      <c r="F824" s="193"/>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row>
    <row r="825" spans="1:30" ht="12.75">
      <c r="A825" s="104"/>
      <c r="B825" s="104"/>
      <c r="C825" s="104"/>
      <c r="D825" s="104"/>
      <c r="E825" s="104"/>
      <c r="F825" s="193"/>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row>
    <row r="826" spans="1:30" ht="12.75">
      <c r="A826" s="104"/>
      <c r="B826" s="104"/>
      <c r="C826" s="104"/>
      <c r="D826" s="104"/>
      <c r="E826" s="104"/>
      <c r="F826" s="193"/>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row>
    <row r="827" spans="1:30" ht="12.75">
      <c r="A827" s="104"/>
      <c r="B827" s="104"/>
      <c r="C827" s="104"/>
      <c r="D827" s="104"/>
      <c r="E827" s="104"/>
      <c r="F827" s="193"/>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row>
    <row r="828" spans="1:30" ht="12.75">
      <c r="A828" s="104"/>
      <c r="B828" s="104"/>
      <c r="C828" s="104"/>
      <c r="D828" s="104"/>
      <c r="E828" s="104"/>
      <c r="F828" s="193"/>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row>
    <row r="829" spans="1:30" ht="12.75">
      <c r="A829" s="104"/>
      <c r="B829" s="104"/>
      <c r="C829" s="104"/>
      <c r="D829" s="104"/>
      <c r="E829" s="104"/>
      <c r="F829" s="193"/>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row>
    <row r="830" spans="1:30" ht="12.75">
      <c r="A830" s="104"/>
      <c r="B830" s="104"/>
      <c r="C830" s="104"/>
      <c r="D830" s="104"/>
      <c r="E830" s="104"/>
      <c r="F830" s="193"/>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row>
    <row r="831" spans="1:30" ht="12.75">
      <c r="A831" s="104"/>
      <c r="B831" s="104"/>
      <c r="C831" s="104"/>
      <c r="D831" s="104"/>
      <c r="E831" s="104"/>
      <c r="F831" s="193"/>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row>
    <row r="832" spans="1:30" ht="12.75">
      <c r="A832" s="104"/>
      <c r="B832" s="104"/>
      <c r="C832" s="104"/>
      <c r="D832" s="104"/>
      <c r="E832" s="104"/>
      <c r="F832" s="193"/>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row>
    <row r="833" spans="1:30" ht="12.75">
      <c r="A833" s="104"/>
      <c r="B833" s="104"/>
      <c r="C833" s="104"/>
      <c r="D833" s="104"/>
      <c r="E833" s="104"/>
      <c r="F833" s="193"/>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row>
    <row r="834" spans="1:30" ht="12.75">
      <c r="A834" s="104"/>
      <c r="B834" s="104"/>
      <c r="C834" s="104"/>
      <c r="D834" s="104"/>
      <c r="E834" s="104"/>
      <c r="F834" s="193"/>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row>
    <row r="835" spans="1:30" ht="12.75">
      <c r="A835" s="104"/>
      <c r="B835" s="104"/>
      <c r="C835" s="104"/>
      <c r="D835" s="104"/>
      <c r="E835" s="104"/>
      <c r="F835" s="193"/>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row>
    <row r="836" spans="1:30" ht="12.75">
      <c r="A836" s="104"/>
      <c r="B836" s="104"/>
      <c r="C836" s="104"/>
      <c r="D836" s="104"/>
      <c r="E836" s="104"/>
      <c r="F836" s="193"/>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row>
    <row r="837" spans="1:30" ht="12.75">
      <c r="A837" s="104"/>
      <c r="B837" s="104"/>
      <c r="C837" s="104"/>
      <c r="D837" s="104"/>
      <c r="E837" s="104"/>
      <c r="F837" s="193"/>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row>
    <row r="838" spans="1:30" ht="12.75">
      <c r="A838" s="104"/>
      <c r="B838" s="104"/>
      <c r="C838" s="104"/>
      <c r="D838" s="104"/>
      <c r="E838" s="104"/>
      <c r="F838" s="193"/>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row>
    <row r="839" spans="1:30" ht="12.75">
      <c r="A839" s="104"/>
      <c r="B839" s="104"/>
      <c r="C839" s="104"/>
      <c r="D839" s="104"/>
      <c r="E839" s="104"/>
      <c r="F839" s="193"/>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row>
    <row r="840" spans="1:30" ht="12.75">
      <c r="A840" s="104"/>
      <c r="B840" s="104"/>
      <c r="C840" s="104"/>
      <c r="D840" s="104"/>
      <c r="E840" s="104"/>
      <c r="F840" s="193"/>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row>
    <row r="841" spans="1:30" ht="12.75">
      <c r="A841" s="104"/>
      <c r="B841" s="104"/>
      <c r="C841" s="104"/>
      <c r="D841" s="104"/>
      <c r="E841" s="104"/>
      <c r="F841" s="193"/>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row>
    <row r="842" spans="1:30" ht="12.75">
      <c r="A842" s="104"/>
      <c r="B842" s="104"/>
      <c r="C842" s="104"/>
      <c r="D842" s="104"/>
      <c r="E842" s="104"/>
      <c r="F842" s="193"/>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row>
    <row r="843" spans="1:30" ht="12.75">
      <c r="A843" s="104"/>
      <c r="B843" s="104"/>
      <c r="C843" s="104"/>
      <c r="D843" s="104"/>
      <c r="E843" s="104"/>
      <c r="F843" s="193"/>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row>
    <row r="844" spans="1:30" ht="12.75">
      <c r="A844" s="104"/>
      <c r="B844" s="104"/>
      <c r="C844" s="104"/>
      <c r="D844" s="104"/>
      <c r="E844" s="104"/>
      <c r="F844" s="193"/>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row>
    <row r="845" spans="1:30" ht="12.75">
      <c r="A845" s="104"/>
      <c r="B845" s="104"/>
      <c r="C845" s="104"/>
      <c r="D845" s="104"/>
      <c r="E845" s="104"/>
      <c r="F845" s="193"/>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row>
    <row r="846" spans="1:30" ht="12.75">
      <c r="A846" s="104"/>
      <c r="B846" s="104"/>
      <c r="C846" s="104"/>
      <c r="D846" s="104"/>
      <c r="E846" s="104"/>
      <c r="F846" s="193"/>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row>
    <row r="847" spans="1:30" ht="12.75">
      <c r="A847" s="104"/>
      <c r="B847" s="104"/>
      <c r="C847" s="104"/>
      <c r="D847" s="104"/>
      <c r="E847" s="104"/>
      <c r="F847" s="193"/>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row>
    <row r="848" spans="1:30" ht="12.75">
      <c r="A848" s="104"/>
      <c r="B848" s="104"/>
      <c r="C848" s="104"/>
      <c r="D848" s="104"/>
      <c r="E848" s="104"/>
      <c r="F848" s="193"/>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row>
    <row r="849" spans="1:30" ht="12.75">
      <c r="A849" s="104"/>
      <c r="B849" s="104"/>
      <c r="C849" s="104"/>
      <c r="D849" s="104"/>
      <c r="E849" s="104"/>
      <c r="F849" s="193"/>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row>
    <row r="850" spans="1:30" ht="12.75">
      <c r="A850" s="104"/>
      <c r="B850" s="104"/>
      <c r="C850" s="104"/>
      <c r="D850" s="104"/>
      <c r="E850" s="104"/>
      <c r="F850" s="193"/>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row>
    <row r="851" spans="1:30" ht="12.75">
      <c r="A851" s="104"/>
      <c r="B851" s="104"/>
      <c r="C851" s="104"/>
      <c r="D851" s="104"/>
      <c r="E851" s="104"/>
      <c r="F851" s="193"/>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row>
    <row r="852" spans="1:30" ht="12.75">
      <c r="A852" s="104"/>
      <c r="B852" s="104"/>
      <c r="C852" s="104"/>
      <c r="D852" s="104"/>
      <c r="E852" s="104"/>
      <c r="F852" s="193"/>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row>
    <row r="853" spans="1:30" ht="12.75">
      <c r="A853" s="104"/>
      <c r="B853" s="104"/>
      <c r="C853" s="104"/>
      <c r="D853" s="104"/>
      <c r="E853" s="104"/>
      <c r="F853" s="193"/>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row>
    <row r="854" spans="1:30" ht="12.75">
      <c r="A854" s="104"/>
      <c r="B854" s="104"/>
      <c r="C854" s="104"/>
      <c r="D854" s="104"/>
      <c r="E854" s="104"/>
      <c r="F854" s="193"/>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row>
    <row r="855" spans="1:30" ht="12.75">
      <c r="A855" s="104"/>
      <c r="B855" s="104"/>
      <c r="C855" s="104"/>
      <c r="D855" s="104"/>
      <c r="E855" s="104"/>
      <c r="F855" s="193"/>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row>
    <row r="856" spans="1:30" ht="12.75">
      <c r="A856" s="104"/>
      <c r="B856" s="104"/>
      <c r="C856" s="104"/>
      <c r="D856" s="104"/>
      <c r="E856" s="104"/>
      <c r="F856" s="193"/>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row>
    <row r="857" spans="1:30" ht="12.75">
      <c r="A857" s="104"/>
      <c r="B857" s="104"/>
      <c r="C857" s="104"/>
      <c r="D857" s="104"/>
      <c r="E857" s="104"/>
      <c r="F857" s="193"/>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row>
    <row r="858" spans="1:30" ht="12.75">
      <c r="A858" s="104"/>
      <c r="B858" s="104"/>
      <c r="C858" s="104"/>
      <c r="D858" s="104"/>
      <c r="E858" s="104"/>
      <c r="F858" s="193"/>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row>
    <row r="859" spans="1:30" ht="12.75">
      <c r="A859" s="104"/>
      <c r="B859" s="104"/>
      <c r="C859" s="104"/>
      <c r="D859" s="104"/>
      <c r="E859" s="104"/>
      <c r="F859" s="193"/>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row>
    <row r="860" spans="1:30" ht="12.75">
      <c r="A860" s="104"/>
      <c r="B860" s="104"/>
      <c r="C860" s="104"/>
      <c r="D860" s="104"/>
      <c r="E860" s="104"/>
      <c r="F860" s="193"/>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row>
    <row r="861" spans="1:30" ht="12.75">
      <c r="A861" s="104"/>
      <c r="B861" s="104"/>
      <c r="C861" s="104"/>
      <c r="D861" s="104"/>
      <c r="E861" s="104"/>
      <c r="F861" s="193"/>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row>
    <row r="862" spans="1:30" ht="12.75">
      <c r="A862" s="104"/>
      <c r="B862" s="104"/>
      <c r="C862" s="104"/>
      <c r="D862" s="104"/>
      <c r="E862" s="104"/>
      <c r="F862" s="193"/>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row>
    <row r="863" spans="1:30" ht="12.75">
      <c r="A863" s="104"/>
      <c r="B863" s="104"/>
      <c r="C863" s="104"/>
      <c r="D863" s="104"/>
      <c r="E863" s="104"/>
      <c r="F863" s="193"/>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row>
    <row r="864" spans="1:30" ht="12.75">
      <c r="A864" s="104"/>
      <c r="B864" s="104"/>
      <c r="C864" s="104"/>
      <c r="D864" s="104"/>
      <c r="E864" s="104"/>
      <c r="F864" s="193"/>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row>
    <row r="865" spans="1:30" ht="12.75">
      <c r="A865" s="104"/>
      <c r="B865" s="104"/>
      <c r="C865" s="104"/>
      <c r="D865" s="104"/>
      <c r="E865" s="104"/>
      <c r="F865" s="193"/>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row>
    <row r="866" spans="1:30" ht="12.75">
      <c r="A866" s="104"/>
      <c r="B866" s="104"/>
      <c r="C866" s="104"/>
      <c r="D866" s="104"/>
      <c r="E866" s="104"/>
      <c r="F866" s="193"/>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row>
    <row r="867" spans="1:30" ht="12.75">
      <c r="A867" s="104"/>
      <c r="B867" s="104"/>
      <c r="C867" s="104"/>
      <c r="D867" s="104"/>
      <c r="E867" s="104"/>
      <c r="F867" s="193"/>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row>
    <row r="868" spans="1:30" ht="12.75">
      <c r="A868" s="104"/>
      <c r="B868" s="104"/>
      <c r="C868" s="104"/>
      <c r="D868" s="104"/>
      <c r="E868" s="104"/>
      <c r="F868" s="193"/>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row>
    <row r="869" spans="1:30" ht="12.75">
      <c r="A869" s="104"/>
      <c r="B869" s="104"/>
      <c r="C869" s="104"/>
      <c r="D869" s="104"/>
      <c r="E869" s="104"/>
      <c r="F869" s="193"/>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row>
    <row r="870" spans="1:30" ht="12.75">
      <c r="A870" s="104"/>
      <c r="B870" s="104"/>
      <c r="C870" s="104"/>
      <c r="D870" s="104"/>
      <c r="E870" s="104"/>
      <c r="F870" s="193"/>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row>
    <row r="871" spans="1:30" ht="12.75">
      <c r="A871" s="104"/>
      <c r="B871" s="104"/>
      <c r="C871" s="104"/>
      <c r="D871" s="104"/>
      <c r="E871" s="104"/>
      <c r="F871" s="193"/>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row>
    <row r="872" spans="1:30" ht="12.75">
      <c r="A872" s="104"/>
      <c r="B872" s="104"/>
      <c r="C872" s="104"/>
      <c r="D872" s="104"/>
      <c r="E872" s="104"/>
      <c r="F872" s="193"/>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row>
    <row r="873" spans="1:30" ht="12.75">
      <c r="A873" s="104"/>
      <c r="B873" s="104"/>
      <c r="C873" s="104"/>
      <c r="D873" s="104"/>
      <c r="E873" s="104"/>
      <c r="F873" s="193"/>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row>
    <row r="874" spans="1:30" ht="12.75">
      <c r="A874" s="104"/>
      <c r="B874" s="104"/>
      <c r="C874" s="104"/>
      <c r="D874" s="104"/>
      <c r="E874" s="104"/>
      <c r="F874" s="193"/>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row>
    <row r="875" spans="1:30" ht="12.75">
      <c r="A875" s="104"/>
      <c r="B875" s="104"/>
      <c r="C875" s="104"/>
      <c r="D875" s="104"/>
      <c r="E875" s="104"/>
      <c r="F875" s="193"/>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row>
    <row r="876" spans="1:30" ht="12.75">
      <c r="A876" s="104"/>
      <c r="B876" s="104"/>
      <c r="C876" s="104"/>
      <c r="D876" s="104"/>
      <c r="E876" s="104"/>
      <c r="F876" s="193"/>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row>
    <row r="877" spans="1:30" ht="12.75">
      <c r="A877" s="104"/>
      <c r="B877" s="104"/>
      <c r="C877" s="104"/>
      <c r="D877" s="104"/>
      <c r="E877" s="104"/>
      <c r="F877" s="193"/>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row>
    <row r="878" spans="1:30" ht="12.75">
      <c r="A878" s="104"/>
      <c r="B878" s="104"/>
      <c r="C878" s="104"/>
      <c r="D878" s="104"/>
      <c r="E878" s="104"/>
      <c r="F878" s="193"/>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row>
    <row r="879" spans="1:30" ht="12.75">
      <c r="A879" s="104"/>
      <c r="B879" s="104"/>
      <c r="C879" s="104"/>
      <c r="D879" s="104"/>
      <c r="E879" s="104"/>
      <c r="F879" s="193"/>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row>
    <row r="880" spans="1:30" ht="12.75">
      <c r="A880" s="104"/>
      <c r="B880" s="104"/>
      <c r="C880" s="104"/>
      <c r="D880" s="104"/>
      <c r="E880" s="104"/>
      <c r="F880" s="193"/>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row>
    <row r="881" spans="1:30" ht="12.75">
      <c r="A881" s="104"/>
      <c r="B881" s="104"/>
      <c r="C881" s="104"/>
      <c r="D881" s="104"/>
      <c r="E881" s="104"/>
      <c r="F881" s="193"/>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row>
    <row r="882" spans="1:30" ht="12.75">
      <c r="A882" s="104"/>
      <c r="B882" s="104"/>
      <c r="C882" s="104"/>
      <c r="D882" s="104"/>
      <c r="E882" s="104"/>
      <c r="F882" s="193"/>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row>
    <row r="883" spans="1:30" ht="12.75">
      <c r="A883" s="104"/>
      <c r="B883" s="104"/>
      <c r="C883" s="104"/>
      <c r="D883" s="104"/>
      <c r="E883" s="104"/>
      <c r="F883" s="193"/>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row>
    <row r="884" spans="1:30" ht="12.75">
      <c r="A884" s="104"/>
      <c r="B884" s="104"/>
      <c r="C884" s="104"/>
      <c r="D884" s="104"/>
      <c r="E884" s="104"/>
      <c r="F884" s="193"/>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row>
    <row r="885" spans="1:30" ht="12.75">
      <c r="A885" s="104"/>
      <c r="B885" s="104"/>
      <c r="C885" s="104"/>
      <c r="D885" s="104"/>
      <c r="E885" s="104"/>
      <c r="F885" s="193"/>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row>
    <row r="886" spans="1:30" ht="12.75">
      <c r="A886" s="104"/>
      <c r="B886" s="104"/>
      <c r="C886" s="104"/>
      <c r="D886" s="104"/>
      <c r="E886" s="104"/>
      <c r="F886" s="193"/>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row>
    <row r="887" spans="1:30" ht="12.75">
      <c r="A887" s="104"/>
      <c r="B887" s="104"/>
      <c r="C887" s="104"/>
      <c r="D887" s="104"/>
      <c r="E887" s="104"/>
      <c r="F887" s="193"/>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row>
    <row r="888" spans="1:30" ht="12.75">
      <c r="A888" s="104"/>
      <c r="B888" s="104"/>
      <c r="C888" s="104"/>
      <c r="D888" s="104"/>
      <c r="E888" s="104"/>
      <c r="F888" s="193"/>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row>
    <row r="889" spans="1:30" ht="12.75">
      <c r="A889" s="104"/>
      <c r="B889" s="104"/>
      <c r="C889" s="104"/>
      <c r="D889" s="104"/>
      <c r="E889" s="104"/>
      <c r="F889" s="193"/>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row>
    <row r="890" spans="1:30" ht="12.75">
      <c r="A890" s="104"/>
      <c r="B890" s="104"/>
      <c r="C890" s="104"/>
      <c r="D890" s="104"/>
      <c r="E890" s="104"/>
      <c r="F890" s="193"/>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row>
    <row r="891" spans="1:30" ht="12.75">
      <c r="A891" s="104"/>
      <c r="B891" s="104"/>
      <c r="C891" s="104"/>
      <c r="D891" s="104"/>
      <c r="E891" s="104"/>
      <c r="F891" s="193"/>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row>
    <row r="892" spans="1:30" ht="12.75">
      <c r="A892" s="104"/>
      <c r="B892" s="104"/>
      <c r="C892" s="104"/>
      <c r="D892" s="104"/>
      <c r="E892" s="104"/>
      <c r="F892" s="193"/>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row>
    <row r="893" spans="1:30" ht="12.75">
      <c r="A893" s="104"/>
      <c r="B893" s="104"/>
      <c r="C893" s="104"/>
      <c r="D893" s="104"/>
      <c r="E893" s="104"/>
      <c r="F893" s="193"/>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row>
    <row r="894" spans="1:30" ht="12.75">
      <c r="A894" s="104"/>
      <c r="B894" s="104"/>
      <c r="C894" s="104"/>
      <c r="D894" s="104"/>
      <c r="E894" s="104"/>
      <c r="F894" s="193"/>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row>
    <row r="895" spans="1:30" ht="12.75">
      <c r="A895" s="104"/>
      <c r="B895" s="104"/>
      <c r="C895" s="104"/>
      <c r="D895" s="104"/>
      <c r="E895" s="104"/>
      <c r="F895" s="193"/>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row>
    <row r="896" spans="1:30" ht="12.75">
      <c r="A896" s="104"/>
      <c r="B896" s="104"/>
      <c r="C896" s="104"/>
      <c r="D896" s="104"/>
      <c r="E896" s="104"/>
      <c r="F896" s="193"/>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row>
    <row r="897" spans="1:30" ht="12.75">
      <c r="A897" s="104"/>
      <c r="B897" s="104"/>
      <c r="C897" s="104"/>
      <c r="D897" s="104"/>
      <c r="E897" s="104"/>
      <c r="F897" s="193"/>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row>
    <row r="898" spans="1:30" ht="12.75">
      <c r="A898" s="104"/>
      <c r="B898" s="104"/>
      <c r="C898" s="104"/>
      <c r="D898" s="104"/>
      <c r="E898" s="104"/>
      <c r="F898" s="193"/>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row>
    <row r="899" spans="1:30" ht="12.75">
      <c r="A899" s="104"/>
      <c r="B899" s="104"/>
      <c r="C899" s="104"/>
      <c r="D899" s="104"/>
      <c r="E899" s="104"/>
      <c r="F899" s="193"/>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row>
    <row r="900" spans="1:30" ht="12.75">
      <c r="A900" s="104"/>
      <c r="B900" s="104"/>
      <c r="C900" s="104"/>
      <c r="D900" s="104"/>
      <c r="E900" s="104"/>
      <c r="F900" s="193"/>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row>
    <row r="901" spans="1:30" ht="12.75">
      <c r="A901" s="104"/>
      <c r="B901" s="104"/>
      <c r="C901" s="104"/>
      <c r="D901" s="104"/>
      <c r="E901" s="104"/>
      <c r="F901" s="193"/>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row>
    <row r="902" spans="1:30" ht="12.75">
      <c r="A902" s="104"/>
      <c r="B902" s="104"/>
      <c r="C902" s="104"/>
      <c r="D902" s="104"/>
      <c r="E902" s="104"/>
      <c r="F902" s="193"/>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row>
    <row r="903" spans="1:30" ht="12.75">
      <c r="A903" s="104"/>
      <c r="B903" s="104"/>
      <c r="C903" s="104"/>
      <c r="D903" s="104"/>
      <c r="E903" s="104"/>
      <c r="F903" s="193"/>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row>
    <row r="904" spans="1:30" ht="12.75">
      <c r="A904" s="104"/>
      <c r="B904" s="104"/>
      <c r="C904" s="104"/>
      <c r="D904" s="104"/>
      <c r="E904" s="104"/>
      <c r="F904" s="193"/>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row>
    <row r="905" spans="1:30" ht="12.75">
      <c r="A905" s="104"/>
      <c r="B905" s="104"/>
      <c r="C905" s="104"/>
      <c r="D905" s="104"/>
      <c r="E905" s="104"/>
      <c r="F905" s="193"/>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row>
    <row r="906" spans="1:30" ht="12.75">
      <c r="A906" s="104"/>
      <c r="B906" s="104"/>
      <c r="C906" s="104"/>
      <c r="D906" s="104"/>
      <c r="E906" s="104"/>
      <c r="F906" s="193"/>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row>
    <row r="907" spans="1:30" ht="12.75">
      <c r="A907" s="104"/>
      <c r="B907" s="104"/>
      <c r="C907" s="104"/>
      <c r="D907" s="104"/>
      <c r="E907" s="104"/>
      <c r="F907" s="193"/>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row>
    <row r="908" spans="1:30" ht="12.75">
      <c r="A908" s="104"/>
      <c r="B908" s="104"/>
      <c r="C908" s="104"/>
      <c r="D908" s="104"/>
      <c r="E908" s="104"/>
      <c r="F908" s="193"/>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row>
    <row r="909" spans="1:30" ht="12.75">
      <c r="A909" s="104"/>
      <c r="B909" s="104"/>
      <c r="C909" s="104"/>
      <c r="D909" s="104"/>
      <c r="E909" s="104"/>
      <c r="F909" s="193"/>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row>
    <row r="910" spans="1:30" ht="12.75">
      <c r="A910" s="104"/>
      <c r="B910" s="104"/>
      <c r="C910" s="104"/>
      <c r="D910" s="104"/>
      <c r="E910" s="104"/>
      <c r="F910" s="193"/>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row>
    <row r="911" spans="1:30" ht="12.75">
      <c r="A911" s="104"/>
      <c r="B911" s="104"/>
      <c r="C911" s="104"/>
      <c r="D911" s="104"/>
      <c r="E911" s="104"/>
      <c r="F911" s="193"/>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row>
    <row r="912" spans="1:30" ht="12.75">
      <c r="A912" s="104"/>
      <c r="B912" s="104"/>
      <c r="C912" s="104"/>
      <c r="D912" s="104"/>
      <c r="E912" s="104"/>
      <c r="F912" s="193"/>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row>
    <row r="913" spans="1:30" ht="12.75">
      <c r="A913" s="104"/>
      <c r="B913" s="104"/>
      <c r="C913" s="104"/>
      <c r="D913" s="104"/>
      <c r="E913" s="104"/>
      <c r="F913" s="193"/>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row>
    <row r="914" spans="1:30" ht="12.75">
      <c r="A914" s="104"/>
      <c r="B914" s="104"/>
      <c r="C914" s="104"/>
      <c r="D914" s="104"/>
      <c r="E914" s="104"/>
      <c r="F914" s="193"/>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row>
    <row r="915" spans="1:30" ht="12.75">
      <c r="A915" s="104"/>
      <c r="B915" s="104"/>
      <c r="C915" s="104"/>
      <c r="D915" s="104"/>
      <c r="E915" s="104"/>
      <c r="F915" s="193"/>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row>
    <row r="916" spans="1:30" ht="12.75">
      <c r="A916" s="104"/>
      <c r="B916" s="104"/>
      <c r="C916" s="104"/>
      <c r="D916" s="104"/>
      <c r="E916" s="104"/>
      <c r="F916" s="193"/>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row>
    <row r="917" spans="1:30" ht="12.75">
      <c r="A917" s="104"/>
      <c r="B917" s="104"/>
      <c r="C917" s="104"/>
      <c r="D917" s="104"/>
      <c r="E917" s="104"/>
      <c r="F917" s="193"/>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row>
    <row r="918" spans="1:30" ht="12.75">
      <c r="A918" s="104"/>
      <c r="B918" s="104"/>
      <c r="C918" s="104"/>
      <c r="D918" s="104"/>
      <c r="E918" s="104"/>
      <c r="F918" s="193"/>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row>
    <row r="919" spans="1:30" ht="12.75">
      <c r="A919" s="104"/>
      <c r="B919" s="104"/>
      <c r="C919" s="104"/>
      <c r="D919" s="104"/>
      <c r="E919" s="104"/>
      <c r="F919" s="193"/>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row>
    <row r="920" spans="1:30" ht="12.75">
      <c r="A920" s="104"/>
      <c r="B920" s="104"/>
      <c r="C920" s="104"/>
      <c r="D920" s="104"/>
      <c r="E920" s="104"/>
      <c r="F920" s="193"/>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row>
    <row r="921" spans="1:30" ht="12.75">
      <c r="A921" s="104"/>
      <c r="B921" s="104"/>
      <c r="C921" s="104"/>
      <c r="D921" s="104"/>
      <c r="E921" s="104"/>
      <c r="F921" s="193"/>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row>
    <row r="922" spans="1:30" ht="12.75">
      <c r="A922" s="104"/>
      <c r="B922" s="104"/>
      <c r="C922" s="104"/>
      <c r="D922" s="104"/>
      <c r="E922" s="104"/>
      <c r="F922" s="193"/>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row>
    <row r="923" spans="1:30" ht="12.75">
      <c r="A923" s="104"/>
      <c r="B923" s="104"/>
      <c r="C923" s="104"/>
      <c r="D923" s="104"/>
      <c r="E923" s="104"/>
      <c r="F923" s="193"/>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row>
    <row r="924" spans="1:30" ht="12.75">
      <c r="A924" s="104"/>
      <c r="B924" s="104"/>
      <c r="C924" s="104"/>
      <c r="D924" s="104"/>
      <c r="E924" s="104"/>
      <c r="F924" s="193"/>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row>
    <row r="925" spans="1:30" ht="12.75">
      <c r="A925" s="104"/>
      <c r="B925" s="104"/>
      <c r="C925" s="104"/>
      <c r="D925" s="104"/>
      <c r="E925" s="104"/>
      <c r="F925" s="193"/>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row>
    <row r="926" spans="1:30" ht="12.75">
      <c r="A926" s="104"/>
      <c r="B926" s="104"/>
      <c r="C926" s="104"/>
      <c r="D926" s="104"/>
      <c r="E926" s="104"/>
      <c r="F926" s="193"/>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row>
    <row r="927" spans="1:30" ht="12.75">
      <c r="A927" s="104"/>
      <c r="B927" s="104"/>
      <c r="C927" s="104"/>
      <c r="D927" s="104"/>
      <c r="E927" s="104"/>
      <c r="F927" s="193"/>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row>
    <row r="928" spans="1:30" ht="12.75">
      <c r="A928" s="104"/>
      <c r="B928" s="104"/>
      <c r="C928" s="104"/>
      <c r="D928" s="104"/>
      <c r="E928" s="104"/>
      <c r="F928" s="193"/>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row>
    <row r="929" spans="1:30" ht="12.75">
      <c r="A929" s="104"/>
      <c r="B929" s="104"/>
      <c r="C929" s="104"/>
      <c r="D929" s="104"/>
      <c r="E929" s="104"/>
      <c r="F929" s="193"/>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row>
    <row r="930" spans="1:30" ht="12.75">
      <c r="A930" s="104"/>
      <c r="B930" s="104"/>
      <c r="C930" s="104"/>
      <c r="D930" s="104"/>
      <c r="E930" s="104"/>
      <c r="F930" s="193"/>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row>
    <row r="931" spans="1:30" ht="12.75">
      <c r="A931" s="104"/>
      <c r="B931" s="104"/>
      <c r="C931" s="104"/>
      <c r="D931" s="104"/>
      <c r="E931" s="104"/>
      <c r="F931" s="193"/>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row>
    <row r="932" spans="1:30" ht="12.75">
      <c r="A932" s="104"/>
      <c r="B932" s="104"/>
      <c r="C932" s="104"/>
      <c r="D932" s="104"/>
      <c r="E932" s="104"/>
      <c r="F932" s="193"/>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row>
    <row r="933" spans="1:30" ht="12.75">
      <c r="A933" s="104"/>
      <c r="B933" s="104"/>
      <c r="C933" s="104"/>
      <c r="D933" s="104"/>
      <c r="E933" s="104"/>
      <c r="F933" s="193"/>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row>
    <row r="934" spans="1:30" ht="12.75">
      <c r="A934" s="104"/>
      <c r="B934" s="104"/>
      <c r="C934" s="104"/>
      <c r="D934" s="104"/>
      <c r="E934" s="104"/>
      <c r="F934" s="193"/>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row>
    <row r="935" spans="1:30" ht="12.75">
      <c r="A935" s="104"/>
      <c r="B935" s="104"/>
      <c r="C935" s="104"/>
      <c r="D935" s="104"/>
      <c r="E935" s="104"/>
      <c r="F935" s="193"/>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row>
    <row r="936" spans="1:30" ht="12.75">
      <c r="A936" s="104"/>
      <c r="B936" s="104"/>
      <c r="C936" s="104"/>
      <c r="D936" s="104"/>
      <c r="E936" s="104"/>
      <c r="F936" s="193"/>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row>
    <row r="937" spans="1:30" ht="12.75">
      <c r="A937" s="104"/>
      <c r="B937" s="104"/>
      <c r="C937" s="104"/>
      <c r="D937" s="104"/>
      <c r="E937" s="104"/>
      <c r="F937" s="193"/>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row>
    <row r="938" spans="1:30" ht="12.75">
      <c r="A938" s="104"/>
      <c r="B938" s="104"/>
      <c r="C938" s="104"/>
      <c r="D938" s="104"/>
      <c r="E938" s="104"/>
      <c r="F938" s="193"/>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row>
    <row r="939" spans="1:30" ht="12.75">
      <c r="A939" s="104"/>
      <c r="B939" s="104"/>
      <c r="C939" s="104"/>
      <c r="D939" s="104"/>
      <c r="E939" s="104"/>
      <c r="F939" s="193"/>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row>
    <row r="940" spans="1:30" ht="12.75">
      <c r="A940" s="104"/>
      <c r="B940" s="104"/>
      <c r="C940" s="104"/>
      <c r="D940" s="104"/>
      <c r="E940" s="104"/>
      <c r="F940" s="193"/>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row>
    <row r="941" spans="1:30" ht="12.75">
      <c r="A941" s="104"/>
      <c r="B941" s="104"/>
      <c r="C941" s="104"/>
      <c r="D941" s="104"/>
      <c r="E941" s="104"/>
      <c r="F941" s="193"/>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row>
    <row r="942" spans="1:30" ht="12.75">
      <c r="A942" s="104"/>
      <c r="B942" s="104"/>
      <c r="C942" s="104"/>
      <c r="D942" s="104"/>
      <c r="E942" s="104"/>
      <c r="F942" s="193"/>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row>
    <row r="943" spans="1:30" ht="12.75">
      <c r="A943" s="104"/>
      <c r="B943" s="104"/>
      <c r="C943" s="104"/>
      <c r="D943" s="104"/>
      <c r="E943" s="104"/>
      <c r="F943" s="193"/>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row>
    <row r="944" spans="1:30" ht="12.75">
      <c r="A944" s="104"/>
      <c r="B944" s="104"/>
      <c r="C944" s="104"/>
      <c r="D944" s="104"/>
      <c r="E944" s="104"/>
      <c r="F944" s="193"/>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row>
    <row r="945" spans="1:30" ht="12.75">
      <c r="A945" s="104"/>
      <c r="B945" s="104"/>
      <c r="C945" s="104"/>
      <c r="D945" s="104"/>
      <c r="E945" s="104"/>
      <c r="F945" s="193"/>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row>
    <row r="946" spans="1:30" ht="12.75">
      <c r="A946" s="104"/>
      <c r="B946" s="104"/>
      <c r="C946" s="104"/>
      <c r="D946" s="104"/>
      <c r="E946" s="104"/>
      <c r="F946" s="193"/>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row>
    <row r="947" spans="1:30" ht="12.75">
      <c r="A947" s="104"/>
      <c r="B947" s="104"/>
      <c r="C947" s="104"/>
      <c r="D947" s="104"/>
      <c r="E947" s="104"/>
      <c r="F947" s="193"/>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row>
    <row r="948" spans="1:30" ht="12.75">
      <c r="A948" s="104"/>
      <c r="B948" s="104"/>
      <c r="C948" s="104"/>
      <c r="D948" s="104"/>
      <c r="E948" s="104"/>
      <c r="F948" s="193"/>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row>
    <row r="949" spans="1:30" ht="12.75">
      <c r="A949" s="104"/>
      <c r="B949" s="104"/>
      <c r="C949" s="104"/>
      <c r="D949" s="104"/>
      <c r="E949" s="104"/>
      <c r="F949" s="193"/>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row>
    <row r="950" spans="1:30" ht="12.75">
      <c r="A950" s="104"/>
      <c r="B950" s="104"/>
      <c r="C950" s="104"/>
      <c r="D950" s="104"/>
      <c r="E950" s="104"/>
      <c r="F950" s="193"/>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row>
    <row r="951" spans="1:30" ht="12.75">
      <c r="A951" s="104"/>
      <c r="B951" s="104"/>
      <c r="C951" s="104"/>
      <c r="D951" s="104"/>
      <c r="E951" s="104"/>
      <c r="F951" s="193"/>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row>
    <row r="952" spans="1:30" ht="12.75">
      <c r="A952" s="104"/>
      <c r="B952" s="104"/>
      <c r="C952" s="104"/>
      <c r="D952" s="104"/>
      <c r="E952" s="104"/>
      <c r="F952" s="193"/>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row>
    <row r="953" spans="1:30" ht="12.75">
      <c r="A953" s="104"/>
      <c r="B953" s="104"/>
      <c r="C953" s="104"/>
      <c r="D953" s="104"/>
      <c r="E953" s="104"/>
      <c r="F953" s="193"/>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row>
    <row r="954" spans="1:30" ht="12.75">
      <c r="A954" s="104"/>
      <c r="B954" s="104"/>
      <c r="C954" s="104"/>
      <c r="D954" s="104"/>
      <c r="E954" s="104"/>
      <c r="F954" s="193"/>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row>
    <row r="955" spans="1:30" ht="12.75">
      <c r="A955" s="104"/>
      <c r="B955" s="104"/>
      <c r="C955" s="104"/>
      <c r="D955" s="104"/>
      <c r="E955" s="104"/>
      <c r="F955" s="193"/>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row>
    <row r="956" spans="1:30" ht="12.75">
      <c r="A956" s="104"/>
      <c r="B956" s="104"/>
      <c r="C956" s="104"/>
      <c r="D956" s="104"/>
      <c r="E956" s="104"/>
      <c r="F956" s="193"/>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row>
    <row r="957" spans="1:30" ht="12.75">
      <c r="A957" s="104"/>
      <c r="B957" s="104"/>
      <c r="C957" s="104"/>
      <c r="D957" s="104"/>
      <c r="E957" s="104"/>
      <c r="F957" s="193"/>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row>
    <row r="958" spans="1:30" ht="12.75">
      <c r="A958" s="104"/>
      <c r="B958" s="104"/>
      <c r="C958" s="104"/>
      <c r="D958" s="104"/>
      <c r="E958" s="104"/>
      <c r="F958" s="193"/>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row>
    <row r="959" spans="1:30" ht="12.75">
      <c r="A959" s="104"/>
      <c r="B959" s="104"/>
      <c r="C959" s="104"/>
      <c r="D959" s="104"/>
      <c r="E959" s="104"/>
      <c r="F959" s="193"/>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row>
    <row r="960" spans="1:30" ht="12.75">
      <c r="A960" s="104"/>
      <c r="B960" s="104"/>
      <c r="C960" s="104"/>
      <c r="D960" s="104"/>
      <c r="E960" s="104"/>
      <c r="F960" s="193"/>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row>
    <row r="961" spans="1:30" ht="12.75">
      <c r="A961" s="104"/>
      <c r="B961" s="104"/>
      <c r="C961" s="104"/>
      <c r="D961" s="104"/>
      <c r="E961" s="104"/>
      <c r="F961" s="193"/>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row>
    <row r="962" spans="1:30" ht="12.75">
      <c r="A962" s="104"/>
      <c r="B962" s="104"/>
      <c r="C962" s="104"/>
      <c r="D962" s="104"/>
      <c r="E962" s="104"/>
      <c r="F962" s="193"/>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row>
    <row r="963" spans="1:30" ht="12.75">
      <c r="A963" s="104"/>
      <c r="B963" s="104"/>
      <c r="C963" s="104"/>
      <c r="D963" s="104"/>
      <c r="E963" s="104"/>
      <c r="F963" s="193"/>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row>
    <row r="964" spans="1:30" ht="12.75">
      <c r="A964" s="104"/>
      <c r="B964" s="104"/>
      <c r="C964" s="104"/>
      <c r="D964" s="104"/>
      <c r="E964" s="104"/>
      <c r="F964" s="193"/>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row>
    <row r="965" spans="1:30" ht="12.75">
      <c r="A965" s="104"/>
      <c r="B965" s="104"/>
      <c r="C965" s="104"/>
      <c r="D965" s="104"/>
      <c r="E965" s="104"/>
      <c r="F965" s="193"/>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row>
    <row r="966" spans="1:30" ht="12.75">
      <c r="A966" s="104"/>
      <c r="B966" s="104"/>
      <c r="C966" s="104"/>
      <c r="D966" s="104"/>
      <c r="E966" s="104"/>
      <c r="F966" s="193"/>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row>
    <row r="967" spans="1:30" ht="12.75">
      <c r="A967" s="104"/>
      <c r="B967" s="104"/>
      <c r="C967" s="104"/>
      <c r="D967" s="104"/>
      <c r="E967" s="104"/>
      <c r="F967" s="193"/>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row>
    <row r="968" spans="1:30" ht="12.75">
      <c r="A968" s="104"/>
      <c r="B968" s="104"/>
      <c r="C968" s="104"/>
      <c r="D968" s="104"/>
      <c r="E968" s="104"/>
      <c r="F968" s="193"/>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row>
    <row r="969" spans="1:30" ht="12.75">
      <c r="A969" s="104"/>
      <c r="B969" s="104"/>
      <c r="C969" s="104"/>
      <c r="D969" s="104"/>
      <c r="E969" s="104"/>
      <c r="F969" s="193"/>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row>
    <row r="970" spans="1:30" ht="12.75">
      <c r="A970" s="104"/>
      <c r="B970" s="104"/>
      <c r="C970" s="104"/>
      <c r="D970" s="104"/>
      <c r="E970" s="104"/>
      <c r="F970" s="193"/>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row>
    <row r="971" spans="1:30" ht="12.75">
      <c r="A971" s="104"/>
      <c r="B971" s="104"/>
      <c r="C971" s="104"/>
      <c r="D971" s="104"/>
      <c r="E971" s="104"/>
      <c r="F971" s="193"/>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row>
    <row r="972" spans="1:30" ht="12.75">
      <c r="A972" s="104"/>
      <c r="B972" s="104"/>
      <c r="C972" s="104"/>
      <c r="D972" s="104"/>
      <c r="E972" s="104"/>
      <c r="F972" s="193"/>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row>
    <row r="973" spans="1:30" ht="12.75">
      <c r="A973" s="104"/>
      <c r="B973" s="104"/>
      <c r="C973" s="104"/>
      <c r="D973" s="104"/>
      <c r="E973" s="104"/>
      <c r="F973" s="193"/>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row>
    <row r="974" spans="1:30" ht="12.75">
      <c r="A974" s="104"/>
      <c r="B974" s="104"/>
      <c r="C974" s="104"/>
      <c r="D974" s="104"/>
      <c r="E974" s="104"/>
      <c r="F974" s="193"/>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row>
    <row r="975" spans="1:30" ht="12.75">
      <c r="A975" s="104"/>
      <c r="B975" s="104"/>
      <c r="C975" s="104"/>
      <c r="D975" s="104"/>
      <c r="E975" s="104"/>
      <c r="F975" s="193"/>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row>
    <row r="976" spans="1:30" ht="12.75">
      <c r="A976" s="104"/>
      <c r="B976" s="104"/>
      <c r="C976" s="104"/>
      <c r="D976" s="104"/>
      <c r="E976" s="104"/>
      <c r="F976" s="193"/>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row>
    <row r="977" spans="1:30" ht="12.75">
      <c r="A977" s="104"/>
      <c r="B977" s="104"/>
      <c r="C977" s="104"/>
      <c r="D977" s="104"/>
      <c r="E977" s="104"/>
      <c r="F977" s="193"/>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row>
    <row r="978" spans="1:30" ht="12.75">
      <c r="A978" s="104"/>
      <c r="B978" s="104"/>
      <c r="C978" s="104"/>
      <c r="D978" s="104"/>
      <c r="E978" s="104"/>
      <c r="F978" s="193"/>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row>
    <row r="979" spans="1:30" ht="12.75">
      <c r="A979" s="104"/>
      <c r="B979" s="104"/>
      <c r="C979" s="104"/>
      <c r="D979" s="104"/>
      <c r="E979" s="104"/>
      <c r="F979" s="193"/>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row>
    <row r="980" spans="1:30" ht="12.75">
      <c r="A980" s="104"/>
      <c r="B980" s="104"/>
      <c r="C980" s="104"/>
      <c r="D980" s="104"/>
      <c r="E980" s="104"/>
      <c r="F980" s="193"/>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row>
    <row r="981" spans="1:30" ht="12.75">
      <c r="A981" s="104"/>
      <c r="B981" s="104"/>
      <c r="C981" s="104"/>
      <c r="D981" s="104"/>
      <c r="E981" s="104"/>
      <c r="F981" s="193"/>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row>
    <row r="982" spans="1:30" ht="12.75">
      <c r="A982" s="104"/>
      <c r="B982" s="104"/>
      <c r="C982" s="104"/>
      <c r="D982" s="104"/>
      <c r="E982" s="104"/>
      <c r="F982" s="193"/>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row>
    <row r="983" spans="1:30" ht="12.75">
      <c r="A983" s="104"/>
      <c r="B983" s="104"/>
      <c r="C983" s="104"/>
      <c r="D983" s="104"/>
      <c r="E983" s="104"/>
      <c r="F983" s="193"/>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row>
    <row r="984" spans="1:30" ht="12.75">
      <c r="A984" s="104"/>
      <c r="B984" s="104"/>
      <c r="C984" s="104"/>
      <c r="D984" s="104"/>
      <c r="E984" s="104"/>
      <c r="F984" s="193"/>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row>
    <row r="985" spans="1:30" ht="12.75">
      <c r="A985" s="104"/>
      <c r="B985" s="104"/>
      <c r="C985" s="104"/>
      <c r="D985" s="104"/>
      <c r="E985" s="104"/>
      <c r="F985" s="193"/>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row>
    <row r="986" spans="1:30" ht="12.75">
      <c r="A986" s="104"/>
      <c r="B986" s="104"/>
      <c r="C986" s="104"/>
      <c r="D986" s="104"/>
      <c r="E986" s="104"/>
      <c r="F986" s="193"/>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row>
    <row r="987" spans="1:30" ht="12.75">
      <c r="A987" s="104"/>
      <c r="B987" s="104"/>
      <c r="C987" s="104"/>
      <c r="D987" s="104"/>
      <c r="E987" s="104"/>
      <c r="F987" s="193"/>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row>
    <row r="988" spans="1:30" ht="12.75">
      <c r="A988" s="104"/>
      <c r="B988" s="104"/>
      <c r="C988" s="104"/>
      <c r="D988" s="104"/>
      <c r="E988" s="104"/>
      <c r="F988" s="193"/>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row>
    <row r="989" spans="1:30" ht="12.75">
      <c r="A989" s="104"/>
      <c r="B989" s="104"/>
      <c r="C989" s="104"/>
      <c r="D989" s="104"/>
      <c r="E989" s="104"/>
      <c r="F989" s="193"/>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row>
    <row r="990" spans="1:30" ht="12.75">
      <c r="A990" s="104"/>
      <c r="B990" s="104"/>
      <c r="C990" s="104"/>
      <c r="D990" s="104"/>
      <c r="E990" s="104"/>
      <c r="F990" s="193"/>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row>
    <row r="991" spans="1:30" ht="12.75">
      <c r="A991" s="104"/>
      <c r="B991" s="104"/>
      <c r="C991" s="104"/>
      <c r="D991" s="104"/>
      <c r="E991" s="104"/>
      <c r="F991" s="193"/>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row>
    <row r="992" spans="1:30" ht="12.75">
      <c r="A992" s="104"/>
      <c r="B992" s="104"/>
      <c r="C992" s="104"/>
      <c r="D992" s="104"/>
      <c r="E992" s="104"/>
      <c r="F992" s="193"/>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row>
    <row r="993" spans="1:30" ht="12.75">
      <c r="A993" s="104"/>
      <c r="B993" s="104"/>
      <c r="C993" s="104"/>
      <c r="D993" s="104"/>
      <c r="E993" s="104"/>
      <c r="F993" s="193"/>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row>
    <row r="994" spans="1:30" ht="12.75">
      <c r="A994" s="104"/>
      <c r="B994" s="104"/>
      <c r="C994" s="104"/>
      <c r="D994" s="104"/>
      <c r="E994" s="104"/>
      <c r="F994" s="193"/>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row>
    <row r="995" spans="1:30" ht="12.75">
      <c r="A995" s="104"/>
      <c r="B995" s="104"/>
      <c r="C995" s="104"/>
      <c r="D995" s="104"/>
      <c r="E995" s="104"/>
      <c r="F995" s="193"/>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row>
    <row r="996" spans="1:30" ht="12.75">
      <c r="A996" s="104"/>
      <c r="B996" s="104"/>
      <c r="C996" s="104"/>
      <c r="D996" s="104"/>
      <c r="E996" s="104"/>
      <c r="F996" s="193"/>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row>
    <row r="997" spans="1:30" ht="12.75">
      <c r="A997" s="104"/>
      <c r="B997" s="104"/>
      <c r="C997" s="104"/>
      <c r="D997" s="104"/>
      <c r="E997" s="104"/>
      <c r="F997" s="193"/>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row>
    <row r="998" spans="1:30" ht="12.75">
      <c r="A998" s="104"/>
      <c r="B998" s="104"/>
      <c r="C998" s="104"/>
      <c r="D998" s="104"/>
      <c r="E998" s="104"/>
      <c r="F998" s="193"/>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row>
    <row r="999" spans="1:30" ht="12.75">
      <c r="A999" s="104"/>
      <c r="B999" s="104"/>
      <c r="C999" s="104"/>
      <c r="D999" s="104"/>
      <c r="E999" s="104"/>
      <c r="F999" s="193"/>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row>
    <row r="1000" spans="1:30" ht="12.75">
      <c r="A1000" s="104"/>
      <c r="B1000" s="104"/>
      <c r="C1000" s="104"/>
      <c r="D1000" s="104"/>
      <c r="E1000" s="104"/>
      <c r="F1000" s="193"/>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row>
    <row r="1001" spans="1:30" ht="12.75">
      <c r="A1001" s="104"/>
      <c r="B1001" s="104"/>
      <c r="C1001" s="104"/>
      <c r="D1001" s="104"/>
      <c r="E1001" s="104"/>
      <c r="F1001" s="193"/>
      <c r="G1001" s="104"/>
      <c r="H1001" s="104"/>
      <c r="I1001" s="104"/>
      <c r="J1001" s="104"/>
      <c r="K1001" s="104"/>
      <c r="L1001" s="104"/>
      <c r="M1001" s="104"/>
      <c r="N1001" s="104"/>
      <c r="O1001" s="104"/>
      <c r="P1001" s="104"/>
      <c r="Q1001" s="104"/>
      <c r="R1001" s="104"/>
      <c r="S1001" s="104"/>
      <c r="T1001" s="104"/>
      <c r="U1001" s="104"/>
      <c r="V1001" s="104"/>
      <c r="W1001" s="104"/>
      <c r="X1001" s="104"/>
      <c r="Y1001" s="104"/>
      <c r="Z1001" s="104"/>
      <c r="AA1001" s="104"/>
      <c r="AB1001" s="104"/>
      <c r="AC1001" s="104"/>
      <c r="AD1001" s="104"/>
    </row>
    <row r="1002" spans="1:30" ht="12.75">
      <c r="A1002" s="104"/>
      <c r="B1002" s="104"/>
      <c r="C1002" s="104"/>
      <c r="D1002" s="104"/>
      <c r="E1002" s="104"/>
      <c r="F1002" s="193"/>
      <c r="G1002" s="104"/>
      <c r="H1002" s="104"/>
      <c r="I1002" s="104"/>
      <c r="J1002" s="104"/>
      <c r="K1002" s="104"/>
      <c r="L1002" s="104"/>
      <c r="M1002" s="104"/>
      <c r="N1002" s="104"/>
      <c r="O1002" s="104"/>
      <c r="P1002" s="104"/>
      <c r="Q1002" s="104"/>
      <c r="R1002" s="104"/>
      <c r="S1002" s="104"/>
      <c r="T1002" s="104"/>
      <c r="U1002" s="104"/>
      <c r="V1002" s="104"/>
      <c r="W1002" s="104"/>
      <c r="X1002" s="104"/>
      <c r="Y1002" s="104"/>
      <c r="Z1002" s="104"/>
      <c r="AA1002" s="104"/>
      <c r="AB1002" s="104"/>
      <c r="AC1002" s="104"/>
      <c r="AD1002" s="104"/>
    </row>
    <row r="1003" spans="1:30" ht="12.75">
      <c r="A1003" s="104"/>
      <c r="B1003" s="104"/>
      <c r="C1003" s="104"/>
      <c r="D1003" s="104"/>
      <c r="E1003" s="104"/>
      <c r="F1003" s="193"/>
      <c r="G1003" s="104"/>
      <c r="H1003" s="104"/>
      <c r="I1003" s="104"/>
      <c r="J1003" s="104"/>
      <c r="K1003" s="104"/>
      <c r="L1003" s="104"/>
      <c r="M1003" s="104"/>
      <c r="N1003" s="104"/>
      <c r="O1003" s="104"/>
      <c r="P1003" s="104"/>
      <c r="Q1003" s="104"/>
      <c r="R1003" s="104"/>
      <c r="S1003" s="104"/>
      <c r="T1003" s="104"/>
      <c r="U1003" s="104"/>
      <c r="V1003" s="104"/>
      <c r="W1003" s="104"/>
      <c r="X1003" s="104"/>
      <c r="Y1003" s="104"/>
      <c r="Z1003" s="104"/>
      <c r="AA1003" s="104"/>
      <c r="AB1003" s="104"/>
      <c r="AC1003" s="104"/>
      <c r="AD1003" s="104"/>
    </row>
    <row r="1004" spans="1:30" ht="12.75">
      <c r="A1004" s="104"/>
      <c r="B1004" s="104"/>
      <c r="C1004" s="104"/>
      <c r="D1004" s="104"/>
      <c r="E1004" s="104"/>
      <c r="F1004" s="193"/>
      <c r="G1004" s="104"/>
      <c r="H1004" s="104"/>
      <c r="I1004" s="104"/>
      <c r="J1004" s="104"/>
      <c r="K1004" s="104"/>
      <c r="L1004" s="104"/>
      <c r="M1004" s="104"/>
      <c r="N1004" s="104"/>
      <c r="O1004" s="104"/>
      <c r="P1004" s="104"/>
      <c r="Q1004" s="104"/>
      <c r="R1004" s="104"/>
      <c r="S1004" s="104"/>
      <c r="T1004" s="104"/>
      <c r="U1004" s="104"/>
      <c r="V1004" s="104"/>
      <c r="W1004" s="104"/>
      <c r="X1004" s="104"/>
      <c r="Y1004" s="104"/>
      <c r="Z1004" s="104"/>
      <c r="AA1004" s="104"/>
      <c r="AB1004" s="104"/>
      <c r="AC1004" s="104"/>
      <c r="AD1004" s="104"/>
    </row>
    <row r="1005" spans="1:30" ht="12.75">
      <c r="A1005" s="104"/>
      <c r="B1005" s="104"/>
      <c r="C1005" s="104"/>
      <c r="D1005" s="104"/>
      <c r="E1005" s="104"/>
      <c r="F1005" s="193"/>
      <c r="G1005" s="104"/>
      <c r="H1005" s="104"/>
      <c r="I1005" s="104"/>
      <c r="J1005" s="104"/>
      <c r="K1005" s="104"/>
      <c r="L1005" s="104"/>
      <c r="M1005" s="104"/>
      <c r="N1005" s="104"/>
      <c r="O1005" s="104"/>
      <c r="P1005" s="104"/>
      <c r="Q1005" s="104"/>
      <c r="R1005" s="104"/>
      <c r="S1005" s="104"/>
      <c r="T1005" s="104"/>
      <c r="U1005" s="104"/>
      <c r="V1005" s="104"/>
      <c r="W1005" s="104"/>
      <c r="X1005" s="104"/>
      <c r="Y1005" s="104"/>
      <c r="Z1005" s="104"/>
      <c r="AA1005" s="104"/>
      <c r="AB1005" s="104"/>
      <c r="AC1005" s="104"/>
      <c r="AD1005" s="104"/>
    </row>
    <row r="1006" spans="1:30" ht="12.75">
      <c r="A1006" s="104"/>
      <c r="B1006" s="104"/>
      <c r="C1006" s="104"/>
      <c r="D1006" s="104"/>
      <c r="E1006" s="104"/>
      <c r="F1006" s="193"/>
      <c r="G1006" s="104"/>
      <c r="H1006" s="104"/>
      <c r="I1006" s="104"/>
      <c r="J1006" s="104"/>
      <c r="K1006" s="104"/>
      <c r="L1006" s="104"/>
      <c r="M1006" s="104"/>
      <c r="N1006" s="104"/>
      <c r="O1006" s="104"/>
      <c r="P1006" s="104"/>
      <c r="Q1006" s="104"/>
      <c r="R1006" s="104"/>
      <c r="S1006" s="104"/>
      <c r="T1006" s="104"/>
      <c r="U1006" s="104"/>
      <c r="V1006" s="104"/>
      <c r="W1006" s="104"/>
      <c r="X1006" s="104"/>
      <c r="Y1006" s="104"/>
      <c r="Z1006" s="104"/>
      <c r="AA1006" s="104"/>
      <c r="AB1006" s="104"/>
      <c r="AC1006" s="104"/>
      <c r="AD1006" s="104"/>
    </row>
    <row r="1007" spans="1:30" ht="12.75">
      <c r="A1007" s="104"/>
      <c r="B1007" s="104"/>
      <c r="C1007" s="104"/>
      <c r="D1007" s="104"/>
      <c r="E1007" s="104"/>
      <c r="F1007" s="193"/>
      <c r="G1007" s="104"/>
      <c r="H1007" s="104"/>
      <c r="I1007" s="104"/>
      <c r="J1007" s="104"/>
      <c r="K1007" s="104"/>
      <c r="L1007" s="104"/>
      <c r="M1007" s="104"/>
      <c r="N1007" s="104"/>
      <c r="O1007" s="104"/>
      <c r="P1007" s="104"/>
      <c r="Q1007" s="104"/>
      <c r="R1007" s="104"/>
      <c r="S1007" s="104"/>
      <c r="T1007" s="104"/>
      <c r="U1007" s="104"/>
      <c r="V1007" s="104"/>
      <c r="W1007" s="104"/>
      <c r="X1007" s="104"/>
      <c r="Y1007" s="104"/>
      <c r="Z1007" s="104"/>
      <c r="AA1007" s="104"/>
      <c r="AB1007" s="104"/>
      <c r="AC1007" s="104"/>
      <c r="AD1007" s="104"/>
    </row>
    <row r="1008" spans="1:30" ht="12.75">
      <c r="A1008" s="104"/>
      <c r="B1008" s="104"/>
      <c r="C1008" s="104"/>
      <c r="D1008" s="104"/>
      <c r="E1008" s="104"/>
      <c r="F1008" s="193"/>
      <c r="G1008" s="104"/>
      <c r="H1008" s="104"/>
      <c r="I1008" s="104"/>
      <c r="J1008" s="104"/>
      <c r="K1008" s="104"/>
      <c r="L1008" s="104"/>
      <c r="M1008" s="104"/>
      <c r="N1008" s="104"/>
      <c r="O1008" s="104"/>
      <c r="P1008" s="104"/>
      <c r="Q1008" s="104"/>
      <c r="R1008" s="104"/>
      <c r="S1008" s="104"/>
      <c r="T1008" s="104"/>
      <c r="U1008" s="104"/>
      <c r="V1008" s="104"/>
      <c r="W1008" s="104"/>
      <c r="X1008" s="104"/>
      <c r="Y1008" s="104"/>
      <c r="Z1008" s="104"/>
      <c r="AA1008" s="104"/>
      <c r="AB1008" s="104"/>
      <c r="AC1008" s="104"/>
      <c r="AD1008" s="104"/>
    </row>
    <row r="1009" spans="1:30" ht="12.75">
      <c r="A1009" s="104"/>
      <c r="B1009" s="104"/>
      <c r="C1009" s="104"/>
      <c r="D1009" s="104"/>
      <c r="E1009" s="104"/>
      <c r="F1009" s="193"/>
      <c r="G1009" s="104"/>
      <c r="H1009" s="104"/>
      <c r="I1009" s="104"/>
      <c r="J1009" s="104"/>
      <c r="K1009" s="104"/>
      <c r="L1009" s="104"/>
      <c r="M1009" s="104"/>
      <c r="N1009" s="104"/>
      <c r="O1009" s="104"/>
      <c r="P1009" s="104"/>
      <c r="Q1009" s="104"/>
      <c r="R1009" s="104"/>
      <c r="S1009" s="104"/>
      <c r="T1009" s="104"/>
      <c r="U1009" s="104"/>
      <c r="V1009" s="104"/>
      <c r="W1009" s="104"/>
      <c r="X1009" s="104"/>
      <c r="Y1009" s="104"/>
      <c r="Z1009" s="104"/>
      <c r="AA1009" s="104"/>
      <c r="AB1009" s="104"/>
      <c r="AC1009" s="104"/>
      <c r="AD1009" s="104"/>
    </row>
    <row r="1010" spans="1:30" ht="12.75">
      <c r="A1010" s="104"/>
      <c r="B1010" s="104"/>
      <c r="C1010" s="104"/>
      <c r="D1010" s="104"/>
      <c r="E1010" s="104"/>
      <c r="F1010" s="193"/>
      <c r="G1010" s="104"/>
      <c r="H1010" s="104"/>
      <c r="I1010" s="104"/>
      <c r="J1010" s="104"/>
      <c r="K1010" s="104"/>
      <c r="L1010" s="104"/>
      <c r="M1010" s="104"/>
      <c r="N1010" s="104"/>
      <c r="O1010" s="104"/>
      <c r="P1010" s="104"/>
      <c r="Q1010" s="104"/>
      <c r="R1010" s="104"/>
      <c r="S1010" s="104"/>
      <c r="T1010" s="104"/>
      <c r="U1010" s="104"/>
      <c r="V1010" s="104"/>
      <c r="W1010" s="104"/>
      <c r="X1010" s="104"/>
      <c r="Y1010" s="104"/>
      <c r="Z1010" s="104"/>
      <c r="AA1010" s="104"/>
      <c r="AB1010" s="104"/>
      <c r="AC1010" s="104"/>
      <c r="AD1010" s="104"/>
    </row>
    <row r="1011" spans="1:30" ht="12.75">
      <c r="A1011" s="104"/>
      <c r="B1011" s="104"/>
      <c r="C1011" s="104"/>
      <c r="D1011" s="104"/>
      <c r="E1011" s="104"/>
      <c r="F1011" s="193"/>
      <c r="G1011" s="104"/>
      <c r="H1011" s="104"/>
      <c r="I1011" s="104"/>
      <c r="J1011" s="104"/>
      <c r="K1011" s="104"/>
      <c r="L1011" s="104"/>
      <c r="M1011" s="104"/>
      <c r="N1011" s="104"/>
      <c r="O1011" s="104"/>
      <c r="P1011" s="104"/>
      <c r="Q1011" s="104"/>
      <c r="R1011" s="104"/>
      <c r="S1011" s="104"/>
      <c r="T1011" s="104"/>
      <c r="U1011" s="104"/>
      <c r="V1011" s="104"/>
      <c r="W1011" s="104"/>
      <c r="X1011" s="104"/>
      <c r="Y1011" s="104"/>
      <c r="Z1011" s="104"/>
      <c r="AA1011" s="104"/>
      <c r="AB1011" s="104"/>
      <c r="AC1011" s="104"/>
      <c r="AD1011" s="104"/>
    </row>
    <row r="1012" spans="1:30" ht="12.75">
      <c r="A1012" s="104"/>
      <c r="B1012" s="104"/>
      <c r="C1012" s="104"/>
      <c r="D1012" s="104"/>
      <c r="E1012" s="104"/>
      <c r="F1012" s="193"/>
      <c r="G1012" s="104"/>
      <c r="H1012" s="104"/>
      <c r="I1012" s="104"/>
      <c r="J1012" s="104"/>
      <c r="K1012" s="104"/>
      <c r="L1012" s="104"/>
      <c r="M1012" s="104"/>
      <c r="N1012" s="104"/>
      <c r="O1012" s="104"/>
      <c r="P1012" s="104"/>
      <c r="Q1012" s="104"/>
      <c r="R1012" s="104"/>
      <c r="S1012" s="104"/>
      <c r="T1012" s="104"/>
      <c r="U1012" s="104"/>
      <c r="V1012" s="104"/>
      <c r="W1012" s="104"/>
      <c r="X1012" s="104"/>
      <c r="Y1012" s="104"/>
      <c r="Z1012" s="104"/>
      <c r="AA1012" s="104"/>
      <c r="AB1012" s="104"/>
      <c r="AC1012" s="104"/>
      <c r="AD1012" s="104"/>
    </row>
    <row r="1013" spans="1:30" ht="12.75">
      <c r="A1013" s="104"/>
      <c r="B1013" s="104"/>
      <c r="C1013" s="104"/>
      <c r="D1013" s="104"/>
      <c r="E1013" s="104"/>
      <c r="F1013" s="193"/>
      <c r="G1013" s="104"/>
      <c r="H1013" s="104"/>
      <c r="I1013" s="104"/>
      <c r="J1013" s="104"/>
      <c r="K1013" s="104"/>
      <c r="L1013" s="104"/>
      <c r="M1013" s="104"/>
      <c r="N1013" s="104"/>
      <c r="O1013" s="104"/>
      <c r="P1013" s="104"/>
      <c r="Q1013" s="104"/>
      <c r="R1013" s="104"/>
      <c r="S1013" s="104"/>
      <c r="T1013" s="104"/>
      <c r="U1013" s="104"/>
      <c r="V1013" s="104"/>
      <c r="W1013" s="104"/>
      <c r="X1013" s="104"/>
      <c r="Y1013" s="104"/>
      <c r="Z1013" s="104"/>
      <c r="AA1013" s="104"/>
      <c r="AB1013" s="104"/>
      <c r="AC1013" s="104"/>
      <c r="AD1013" s="104"/>
    </row>
    <row r="1014" spans="1:30" ht="12.75">
      <c r="A1014" s="104"/>
      <c r="B1014" s="104"/>
      <c r="C1014" s="104"/>
      <c r="D1014" s="104"/>
      <c r="E1014" s="104"/>
      <c r="F1014" s="193"/>
      <c r="G1014" s="104"/>
      <c r="H1014" s="104"/>
      <c r="I1014" s="104"/>
      <c r="J1014" s="104"/>
      <c r="K1014" s="104"/>
      <c r="L1014" s="104"/>
      <c r="M1014" s="104"/>
      <c r="N1014" s="104"/>
      <c r="O1014" s="104"/>
      <c r="P1014" s="104"/>
      <c r="Q1014" s="104"/>
      <c r="R1014" s="104"/>
      <c r="S1014" s="104"/>
      <c r="T1014" s="104"/>
      <c r="U1014" s="104"/>
      <c r="V1014" s="104"/>
      <c r="W1014" s="104"/>
      <c r="X1014" s="104"/>
      <c r="Y1014" s="104"/>
      <c r="Z1014" s="104"/>
      <c r="AA1014" s="104"/>
      <c r="AB1014" s="104"/>
      <c r="AC1014" s="104"/>
      <c r="AD1014" s="104"/>
    </row>
    <row r="1015" spans="1:30" ht="12.75">
      <c r="A1015" s="104"/>
      <c r="B1015" s="104"/>
      <c r="C1015" s="104"/>
      <c r="D1015" s="104"/>
      <c r="E1015" s="104"/>
      <c r="F1015" s="193"/>
      <c r="G1015" s="104"/>
      <c r="H1015" s="104"/>
      <c r="I1015" s="104"/>
      <c r="J1015" s="104"/>
      <c r="K1015" s="104"/>
      <c r="L1015" s="104"/>
      <c r="M1015" s="104"/>
      <c r="N1015" s="104"/>
      <c r="O1015" s="104"/>
      <c r="P1015" s="104"/>
      <c r="Q1015" s="104"/>
      <c r="R1015" s="104"/>
      <c r="S1015" s="104"/>
      <c r="T1015" s="104"/>
      <c r="U1015" s="104"/>
      <c r="V1015" s="104"/>
      <c r="W1015" s="104"/>
      <c r="X1015" s="104"/>
      <c r="Y1015" s="104"/>
      <c r="Z1015" s="104"/>
      <c r="AA1015" s="104"/>
      <c r="AB1015" s="104"/>
      <c r="AC1015" s="104"/>
      <c r="AD1015" s="104"/>
    </row>
    <row r="1016" spans="1:30" ht="12.75">
      <c r="A1016" s="104"/>
      <c r="B1016" s="104"/>
      <c r="C1016" s="104"/>
      <c r="D1016" s="104"/>
      <c r="E1016" s="104"/>
      <c r="F1016" s="193"/>
      <c r="G1016" s="104"/>
      <c r="H1016" s="104"/>
      <c r="I1016" s="104"/>
      <c r="J1016" s="104"/>
      <c r="K1016" s="104"/>
      <c r="L1016" s="104"/>
      <c r="M1016" s="104"/>
      <c r="N1016" s="104"/>
      <c r="O1016" s="104"/>
      <c r="P1016" s="104"/>
      <c r="Q1016" s="104"/>
      <c r="R1016" s="104"/>
      <c r="S1016" s="104"/>
      <c r="T1016" s="104"/>
      <c r="U1016" s="104"/>
      <c r="V1016" s="104"/>
      <c r="W1016" s="104"/>
      <c r="X1016" s="104"/>
      <c r="Y1016" s="104"/>
      <c r="Z1016" s="104"/>
      <c r="AA1016" s="104"/>
      <c r="AB1016" s="104"/>
      <c r="AC1016" s="104"/>
      <c r="AD1016" s="104"/>
    </row>
    <row r="1017" spans="1:30" ht="12.75">
      <c r="A1017" s="104"/>
      <c r="B1017" s="104"/>
      <c r="C1017" s="104"/>
      <c r="D1017" s="104"/>
      <c r="E1017" s="104"/>
      <c r="F1017" s="193"/>
      <c r="G1017" s="104"/>
      <c r="H1017" s="104"/>
      <c r="I1017" s="104"/>
      <c r="J1017" s="104"/>
      <c r="K1017" s="104"/>
      <c r="L1017" s="104"/>
      <c r="M1017" s="104"/>
      <c r="N1017" s="104"/>
      <c r="O1017" s="104"/>
      <c r="P1017" s="104"/>
      <c r="Q1017" s="104"/>
      <c r="R1017" s="104"/>
      <c r="S1017" s="104"/>
      <c r="T1017" s="104"/>
      <c r="U1017" s="104"/>
      <c r="V1017" s="104"/>
      <c r="W1017" s="104"/>
      <c r="X1017" s="104"/>
      <c r="Y1017" s="104"/>
      <c r="Z1017" s="104"/>
      <c r="AA1017" s="104"/>
      <c r="AB1017" s="104"/>
      <c r="AC1017" s="104"/>
      <c r="AD1017" s="104"/>
    </row>
    <row r="1018" spans="1:30" ht="12.75">
      <c r="A1018" s="104"/>
      <c r="B1018" s="104"/>
      <c r="C1018" s="104"/>
      <c r="D1018" s="104"/>
      <c r="E1018" s="104"/>
      <c r="F1018" s="193"/>
      <c r="G1018" s="104"/>
      <c r="H1018" s="104"/>
      <c r="I1018" s="104"/>
      <c r="J1018" s="104"/>
      <c r="K1018" s="104"/>
      <c r="L1018" s="104"/>
      <c r="M1018" s="104"/>
      <c r="N1018" s="104"/>
      <c r="O1018" s="104"/>
      <c r="P1018" s="104"/>
      <c r="Q1018" s="104"/>
      <c r="R1018" s="104"/>
      <c r="S1018" s="104"/>
      <c r="T1018" s="104"/>
      <c r="U1018" s="104"/>
      <c r="V1018" s="104"/>
      <c r="W1018" s="104"/>
      <c r="X1018" s="104"/>
      <c r="Y1018" s="104"/>
      <c r="Z1018" s="104"/>
      <c r="AA1018" s="104"/>
      <c r="AB1018" s="104"/>
      <c r="AC1018" s="104"/>
      <c r="AD1018" s="104"/>
    </row>
    <row r="1019" spans="1:30" ht="12.75">
      <c r="A1019" s="104"/>
      <c r="B1019" s="104"/>
      <c r="C1019" s="104"/>
      <c r="D1019" s="104"/>
      <c r="E1019" s="104"/>
      <c r="F1019" s="193"/>
      <c r="G1019" s="104"/>
      <c r="H1019" s="104"/>
      <c r="I1019" s="104"/>
      <c r="J1019" s="104"/>
      <c r="K1019" s="104"/>
      <c r="L1019" s="104"/>
      <c r="M1019" s="104"/>
      <c r="N1019" s="104"/>
      <c r="O1019" s="104"/>
      <c r="P1019" s="104"/>
      <c r="Q1019" s="104"/>
      <c r="R1019" s="104"/>
      <c r="S1019" s="104"/>
      <c r="T1019" s="104"/>
      <c r="U1019" s="104"/>
      <c r="V1019" s="104"/>
      <c r="W1019" s="104"/>
      <c r="X1019" s="104"/>
      <c r="Y1019" s="104"/>
      <c r="Z1019" s="104"/>
      <c r="AA1019" s="104"/>
      <c r="AB1019" s="104"/>
      <c r="AC1019" s="104"/>
      <c r="AD1019" s="104"/>
    </row>
    <row r="1020" spans="1:30" ht="12.75">
      <c r="A1020" s="104"/>
      <c r="B1020" s="104"/>
      <c r="C1020" s="104"/>
      <c r="D1020" s="104"/>
      <c r="E1020" s="104"/>
      <c r="F1020" s="193"/>
      <c r="G1020" s="104"/>
      <c r="H1020" s="104"/>
      <c r="I1020" s="104"/>
      <c r="J1020" s="104"/>
      <c r="K1020" s="104"/>
      <c r="L1020" s="104"/>
      <c r="M1020" s="104"/>
      <c r="N1020" s="104"/>
      <c r="O1020" s="104"/>
      <c r="P1020" s="104"/>
      <c r="Q1020" s="104"/>
      <c r="R1020" s="104"/>
      <c r="S1020" s="104"/>
      <c r="T1020" s="104"/>
      <c r="U1020" s="104"/>
      <c r="V1020" s="104"/>
      <c r="W1020" s="104"/>
      <c r="X1020" s="104"/>
      <c r="Y1020" s="104"/>
      <c r="Z1020" s="104"/>
      <c r="AA1020" s="104"/>
      <c r="AB1020" s="104"/>
      <c r="AC1020" s="104"/>
      <c r="AD1020" s="104"/>
    </row>
    <row r="1021" spans="1:30" ht="12.75">
      <c r="A1021" s="104"/>
      <c r="B1021" s="104"/>
      <c r="C1021" s="104"/>
      <c r="D1021" s="104"/>
      <c r="E1021" s="104"/>
      <c r="F1021" s="193"/>
      <c r="G1021" s="104"/>
      <c r="H1021" s="104"/>
      <c r="I1021" s="104"/>
      <c r="J1021" s="104"/>
      <c r="K1021" s="104"/>
      <c r="L1021" s="104"/>
      <c r="M1021" s="104"/>
      <c r="N1021" s="104"/>
      <c r="O1021" s="104"/>
      <c r="P1021" s="104"/>
      <c r="Q1021" s="104"/>
      <c r="R1021" s="104"/>
      <c r="S1021" s="104"/>
      <c r="T1021" s="104"/>
      <c r="U1021" s="104"/>
      <c r="V1021" s="104"/>
      <c r="W1021" s="104"/>
      <c r="X1021" s="104"/>
      <c r="Y1021" s="104"/>
      <c r="Z1021" s="104"/>
      <c r="AA1021" s="104"/>
      <c r="AB1021" s="104"/>
      <c r="AC1021" s="104"/>
      <c r="AD1021" s="104"/>
    </row>
    <row r="1022" spans="1:30" ht="12.75">
      <c r="A1022" s="104"/>
      <c r="B1022" s="104"/>
      <c r="C1022" s="104"/>
      <c r="D1022" s="104"/>
      <c r="E1022" s="104"/>
      <c r="F1022" s="193"/>
      <c r="G1022" s="104"/>
      <c r="H1022" s="104"/>
      <c r="I1022" s="104"/>
      <c r="J1022" s="104"/>
      <c r="K1022" s="104"/>
      <c r="L1022" s="104"/>
      <c r="M1022" s="104"/>
      <c r="N1022" s="104"/>
      <c r="O1022" s="104"/>
      <c r="P1022" s="104"/>
      <c r="Q1022" s="104"/>
      <c r="R1022" s="104"/>
      <c r="S1022" s="104"/>
      <c r="T1022" s="104"/>
      <c r="U1022" s="104"/>
      <c r="V1022" s="104"/>
      <c r="W1022" s="104"/>
      <c r="X1022" s="104"/>
      <c r="Y1022" s="104"/>
      <c r="Z1022" s="104"/>
      <c r="AA1022" s="104"/>
      <c r="AB1022" s="104"/>
      <c r="AC1022" s="104"/>
      <c r="AD1022" s="104"/>
    </row>
    <row r="1023" spans="1:30" ht="12.75">
      <c r="A1023" s="104"/>
      <c r="B1023" s="104"/>
      <c r="C1023" s="104"/>
      <c r="D1023" s="104"/>
      <c r="E1023" s="104"/>
      <c r="F1023" s="193"/>
      <c r="G1023" s="104"/>
      <c r="H1023" s="104"/>
      <c r="I1023" s="104"/>
      <c r="J1023" s="104"/>
      <c r="K1023" s="104"/>
      <c r="L1023" s="104"/>
      <c r="M1023" s="104"/>
      <c r="N1023" s="104"/>
      <c r="O1023" s="104"/>
      <c r="P1023" s="104"/>
      <c r="Q1023" s="104"/>
      <c r="R1023" s="104"/>
      <c r="S1023" s="104"/>
      <c r="T1023" s="104"/>
      <c r="U1023" s="104"/>
      <c r="V1023" s="104"/>
      <c r="W1023" s="104"/>
      <c r="X1023" s="104"/>
      <c r="Y1023" s="104"/>
      <c r="Z1023" s="104"/>
      <c r="AA1023" s="104"/>
      <c r="AB1023" s="104"/>
      <c r="AC1023" s="104"/>
      <c r="AD1023" s="104"/>
    </row>
    <row r="1024" spans="1:30" ht="12.75">
      <c r="A1024" s="104"/>
      <c r="B1024" s="104"/>
      <c r="C1024" s="104"/>
      <c r="D1024" s="104"/>
      <c r="E1024" s="104"/>
      <c r="F1024" s="193"/>
      <c r="G1024" s="104"/>
      <c r="H1024" s="104"/>
      <c r="I1024" s="104"/>
      <c r="J1024" s="104"/>
      <c r="K1024" s="104"/>
      <c r="L1024" s="104"/>
      <c r="M1024" s="104"/>
      <c r="N1024" s="104"/>
      <c r="O1024" s="104"/>
      <c r="P1024" s="104"/>
      <c r="Q1024" s="104"/>
      <c r="R1024" s="104"/>
      <c r="S1024" s="104"/>
      <c r="T1024" s="104"/>
      <c r="U1024" s="104"/>
      <c r="V1024" s="104"/>
      <c r="W1024" s="104"/>
      <c r="X1024" s="104"/>
      <c r="Y1024" s="104"/>
      <c r="Z1024" s="104"/>
      <c r="AA1024" s="104"/>
      <c r="AB1024" s="104"/>
      <c r="AC1024" s="104"/>
      <c r="AD1024" s="104"/>
    </row>
    <row r="1025" spans="1:30" ht="12.75">
      <c r="A1025" s="104"/>
      <c r="B1025" s="104"/>
      <c r="C1025" s="104"/>
      <c r="D1025" s="104"/>
      <c r="E1025" s="104"/>
      <c r="F1025" s="193"/>
      <c r="G1025" s="104"/>
      <c r="H1025" s="104"/>
      <c r="I1025" s="104"/>
      <c r="J1025" s="104"/>
      <c r="K1025" s="104"/>
      <c r="L1025" s="104"/>
      <c r="M1025" s="104"/>
      <c r="N1025" s="104"/>
      <c r="O1025" s="104"/>
      <c r="P1025" s="104"/>
      <c r="Q1025" s="104"/>
      <c r="R1025" s="104"/>
      <c r="S1025" s="104"/>
      <c r="T1025" s="104"/>
      <c r="U1025" s="104"/>
      <c r="V1025" s="104"/>
      <c r="W1025" s="104"/>
      <c r="X1025" s="104"/>
      <c r="Y1025" s="104"/>
      <c r="Z1025" s="104"/>
      <c r="AA1025" s="104"/>
      <c r="AB1025" s="104"/>
      <c r="AC1025" s="104"/>
      <c r="AD1025" s="104"/>
    </row>
    <row r="1026" spans="1:30" ht="12.75">
      <c r="A1026" s="104"/>
      <c r="B1026" s="104"/>
      <c r="C1026" s="104"/>
      <c r="D1026" s="104"/>
      <c r="E1026" s="104"/>
      <c r="F1026" s="193"/>
      <c r="G1026" s="104"/>
      <c r="H1026" s="104"/>
      <c r="I1026" s="104"/>
      <c r="J1026" s="104"/>
      <c r="K1026" s="104"/>
      <c r="L1026" s="104"/>
      <c r="M1026" s="104"/>
      <c r="N1026" s="104"/>
      <c r="O1026" s="104"/>
      <c r="P1026" s="104"/>
      <c r="Q1026" s="104"/>
      <c r="R1026" s="104"/>
      <c r="S1026" s="104"/>
      <c r="T1026" s="104"/>
      <c r="U1026" s="104"/>
      <c r="V1026" s="104"/>
      <c r="W1026" s="104"/>
      <c r="X1026" s="104"/>
      <c r="Y1026" s="104"/>
      <c r="Z1026" s="104"/>
      <c r="AA1026" s="104"/>
      <c r="AB1026" s="104"/>
      <c r="AC1026" s="104"/>
      <c r="AD1026" s="104"/>
    </row>
    <row r="1027" spans="1:30" ht="12.75">
      <c r="A1027" s="104"/>
      <c r="B1027" s="104"/>
      <c r="C1027" s="104"/>
      <c r="D1027" s="104"/>
      <c r="E1027" s="104"/>
      <c r="F1027" s="193"/>
      <c r="G1027" s="104"/>
      <c r="H1027" s="104"/>
      <c r="I1027" s="104"/>
      <c r="J1027" s="104"/>
      <c r="K1027" s="104"/>
      <c r="L1027" s="104"/>
      <c r="M1027" s="104"/>
      <c r="N1027" s="104"/>
      <c r="O1027" s="104"/>
      <c r="P1027" s="104"/>
      <c r="Q1027" s="104"/>
      <c r="R1027" s="104"/>
      <c r="S1027" s="104"/>
      <c r="T1027" s="104"/>
      <c r="U1027" s="104"/>
      <c r="V1027" s="104"/>
      <c r="W1027" s="104"/>
      <c r="X1027" s="104"/>
      <c r="Y1027" s="104"/>
      <c r="Z1027" s="104"/>
      <c r="AA1027" s="104"/>
      <c r="AB1027" s="104"/>
      <c r="AC1027" s="104"/>
      <c r="AD1027" s="104"/>
    </row>
    <row r="1028" spans="1:30" ht="12.75">
      <c r="A1028" s="104"/>
      <c r="B1028" s="104"/>
      <c r="C1028" s="104"/>
      <c r="D1028" s="104"/>
      <c r="E1028" s="104"/>
      <c r="F1028" s="193"/>
      <c r="G1028" s="104"/>
      <c r="H1028" s="104"/>
      <c r="I1028" s="104"/>
      <c r="J1028" s="104"/>
      <c r="K1028" s="104"/>
      <c r="L1028" s="104"/>
      <c r="M1028" s="104"/>
      <c r="N1028" s="104"/>
      <c r="O1028" s="104"/>
      <c r="P1028" s="104"/>
      <c r="Q1028" s="104"/>
      <c r="R1028" s="104"/>
      <c r="S1028" s="104"/>
      <c r="T1028" s="104"/>
      <c r="U1028" s="104"/>
      <c r="V1028" s="104"/>
      <c r="W1028" s="104"/>
      <c r="X1028" s="104"/>
      <c r="Y1028" s="104"/>
      <c r="Z1028" s="104"/>
      <c r="AA1028" s="104"/>
      <c r="AB1028" s="104"/>
      <c r="AC1028" s="104"/>
      <c r="AD1028" s="104"/>
    </row>
    <row r="1029" spans="1:30" ht="12.75">
      <c r="A1029" s="104"/>
      <c r="B1029" s="104"/>
      <c r="C1029" s="104"/>
      <c r="D1029" s="104"/>
      <c r="E1029" s="104"/>
      <c r="F1029" s="193"/>
      <c r="G1029" s="104"/>
      <c r="H1029" s="104"/>
      <c r="I1029" s="104"/>
      <c r="J1029" s="104"/>
      <c r="K1029" s="104"/>
      <c r="L1029" s="104"/>
      <c r="M1029" s="104"/>
      <c r="N1029" s="104"/>
      <c r="O1029" s="104"/>
      <c r="P1029" s="104"/>
      <c r="Q1029" s="104"/>
      <c r="R1029" s="104"/>
      <c r="S1029" s="104"/>
      <c r="T1029" s="104"/>
      <c r="U1029" s="104"/>
      <c r="V1029" s="104"/>
      <c r="W1029" s="104"/>
      <c r="X1029" s="104"/>
      <c r="Y1029" s="104"/>
      <c r="Z1029" s="104"/>
      <c r="AA1029" s="104"/>
      <c r="AB1029" s="104"/>
      <c r="AC1029" s="104"/>
      <c r="AD1029" s="104"/>
    </row>
    <row r="1030" spans="1:30" ht="12.75">
      <c r="A1030" s="104"/>
      <c r="B1030" s="104"/>
      <c r="C1030" s="104"/>
      <c r="D1030" s="104"/>
      <c r="E1030" s="104"/>
      <c r="F1030" s="193"/>
      <c r="G1030" s="104"/>
      <c r="H1030" s="104"/>
      <c r="I1030" s="104"/>
      <c r="J1030" s="104"/>
      <c r="K1030" s="104"/>
      <c r="L1030" s="104"/>
      <c r="M1030" s="104"/>
      <c r="N1030" s="104"/>
      <c r="O1030" s="104"/>
      <c r="P1030" s="104"/>
      <c r="Q1030" s="104"/>
      <c r="R1030" s="104"/>
      <c r="S1030" s="104"/>
      <c r="T1030" s="104"/>
      <c r="U1030" s="104"/>
      <c r="V1030" s="104"/>
      <c r="W1030" s="104"/>
      <c r="X1030" s="104"/>
      <c r="Y1030" s="104"/>
      <c r="Z1030" s="104"/>
      <c r="AA1030" s="104"/>
      <c r="AB1030" s="104"/>
      <c r="AC1030" s="104"/>
      <c r="AD1030" s="104"/>
    </row>
    <row r="1031" spans="1:30" ht="12.75">
      <c r="A1031" s="104"/>
      <c r="B1031" s="104"/>
      <c r="C1031" s="104"/>
      <c r="D1031" s="104"/>
      <c r="E1031" s="104"/>
      <c r="F1031" s="193"/>
      <c r="G1031" s="104"/>
      <c r="H1031" s="104"/>
      <c r="I1031" s="104"/>
      <c r="J1031" s="104"/>
      <c r="K1031" s="104"/>
      <c r="L1031" s="104"/>
      <c r="M1031" s="104"/>
      <c r="N1031" s="104"/>
      <c r="O1031" s="104"/>
      <c r="P1031" s="104"/>
      <c r="Q1031" s="104"/>
      <c r="R1031" s="104"/>
      <c r="S1031" s="104"/>
      <c r="T1031" s="104"/>
      <c r="U1031" s="104"/>
      <c r="V1031" s="104"/>
      <c r="W1031" s="104"/>
      <c r="X1031" s="104"/>
      <c r="Y1031" s="104"/>
      <c r="Z1031" s="104"/>
      <c r="AA1031" s="104"/>
      <c r="AB1031" s="104"/>
      <c r="AC1031" s="104"/>
      <c r="AD1031" s="104"/>
    </row>
    <row r="1032" spans="1:30" ht="12.75">
      <c r="A1032" s="104"/>
      <c r="B1032" s="104"/>
      <c r="C1032" s="104"/>
      <c r="D1032" s="104"/>
      <c r="E1032" s="104"/>
      <c r="F1032" s="193"/>
      <c r="G1032" s="104"/>
      <c r="H1032" s="104"/>
      <c r="I1032" s="104"/>
      <c r="J1032" s="104"/>
      <c r="K1032" s="104"/>
      <c r="L1032" s="104"/>
      <c r="M1032" s="104"/>
      <c r="N1032" s="104"/>
      <c r="O1032" s="104"/>
      <c r="P1032" s="104"/>
      <c r="Q1032" s="104"/>
      <c r="R1032" s="104"/>
      <c r="S1032" s="104"/>
      <c r="T1032" s="104"/>
      <c r="U1032" s="104"/>
      <c r="V1032" s="104"/>
      <c r="W1032" s="104"/>
      <c r="X1032" s="104"/>
      <c r="Y1032" s="104"/>
      <c r="Z1032" s="104"/>
      <c r="AA1032" s="104"/>
      <c r="AB1032" s="104"/>
      <c r="AC1032" s="104"/>
      <c r="AD1032" s="104"/>
    </row>
    <row r="1033" spans="1:30" ht="12.75">
      <c r="A1033" s="104"/>
      <c r="B1033" s="104"/>
      <c r="C1033" s="104"/>
      <c r="D1033" s="104"/>
      <c r="E1033" s="104"/>
      <c r="F1033" s="193"/>
      <c r="G1033" s="104"/>
      <c r="H1033" s="104"/>
      <c r="I1033" s="104"/>
      <c r="J1033" s="104"/>
      <c r="K1033" s="104"/>
      <c r="L1033" s="104"/>
      <c r="M1033" s="104"/>
      <c r="N1033" s="104"/>
      <c r="O1033" s="104"/>
      <c r="P1033" s="104"/>
      <c r="Q1033" s="104"/>
      <c r="R1033" s="104"/>
      <c r="S1033" s="104"/>
      <c r="T1033" s="104"/>
      <c r="U1033" s="104"/>
      <c r="V1033" s="104"/>
      <c r="W1033" s="104"/>
      <c r="X1033" s="104"/>
      <c r="Y1033" s="104"/>
      <c r="Z1033" s="104"/>
      <c r="AA1033" s="104"/>
      <c r="AB1033" s="104"/>
      <c r="AC1033" s="104"/>
      <c r="AD1033" s="104"/>
    </row>
    <row r="1034" spans="1:30" ht="12.75">
      <c r="A1034" s="104"/>
      <c r="B1034" s="104"/>
      <c r="C1034" s="104"/>
      <c r="D1034" s="104"/>
      <c r="E1034" s="104"/>
      <c r="F1034" s="193"/>
      <c r="G1034" s="104"/>
      <c r="H1034" s="104"/>
      <c r="I1034" s="104"/>
      <c r="J1034" s="104"/>
      <c r="K1034" s="104"/>
      <c r="L1034" s="104"/>
      <c r="M1034" s="104"/>
      <c r="N1034" s="104"/>
      <c r="O1034" s="104"/>
      <c r="P1034" s="104"/>
      <c r="Q1034" s="104"/>
      <c r="R1034" s="104"/>
      <c r="S1034" s="104"/>
      <c r="T1034" s="104"/>
      <c r="U1034" s="104"/>
      <c r="V1034" s="104"/>
      <c r="W1034" s="104"/>
      <c r="X1034" s="104"/>
      <c r="Y1034" s="104"/>
      <c r="Z1034" s="104"/>
      <c r="AA1034" s="104"/>
      <c r="AB1034" s="104"/>
      <c r="AC1034" s="104"/>
      <c r="AD1034" s="104"/>
    </row>
    <row r="1035" spans="1:30" ht="12.75">
      <c r="A1035" s="104"/>
      <c r="B1035" s="104"/>
      <c r="C1035" s="104"/>
      <c r="D1035" s="104"/>
      <c r="E1035" s="104"/>
      <c r="F1035" s="193"/>
      <c r="G1035" s="104"/>
      <c r="H1035" s="104"/>
      <c r="I1035" s="104"/>
      <c r="J1035" s="104"/>
      <c r="K1035" s="104"/>
      <c r="L1035" s="104"/>
      <c r="M1035" s="104"/>
      <c r="N1035" s="104"/>
      <c r="O1035" s="104"/>
      <c r="P1035" s="104"/>
      <c r="Q1035" s="104"/>
      <c r="R1035" s="104"/>
      <c r="S1035" s="104"/>
      <c r="T1035" s="104"/>
      <c r="U1035" s="104"/>
      <c r="V1035" s="104"/>
      <c r="W1035" s="104"/>
      <c r="X1035" s="104"/>
      <c r="Y1035" s="104"/>
      <c r="Z1035" s="104"/>
      <c r="AA1035" s="104"/>
      <c r="AB1035" s="104"/>
      <c r="AC1035" s="104"/>
      <c r="AD1035" s="104"/>
    </row>
    <row r="1036" spans="1:30" ht="12.75">
      <c r="A1036" s="104"/>
      <c r="B1036" s="104"/>
      <c r="C1036" s="104"/>
      <c r="D1036" s="104"/>
      <c r="E1036" s="104"/>
      <c r="F1036" s="193"/>
      <c r="G1036" s="104"/>
      <c r="H1036" s="104"/>
      <c r="I1036" s="104"/>
      <c r="J1036" s="104"/>
      <c r="K1036" s="104"/>
      <c r="L1036" s="104"/>
      <c r="M1036" s="104"/>
      <c r="N1036" s="104"/>
      <c r="O1036" s="104"/>
      <c r="P1036" s="104"/>
      <c r="Q1036" s="104"/>
      <c r="R1036" s="104"/>
      <c r="S1036" s="104"/>
      <c r="T1036" s="104"/>
      <c r="U1036" s="104"/>
      <c r="V1036" s="104"/>
      <c r="W1036" s="104"/>
      <c r="X1036" s="104"/>
      <c r="Y1036" s="104"/>
      <c r="Z1036" s="104"/>
      <c r="AA1036" s="104"/>
      <c r="AB1036" s="104"/>
      <c r="AC1036" s="104"/>
      <c r="AD1036" s="104"/>
    </row>
    <row r="1037" spans="1:30" ht="12.75">
      <c r="A1037" s="104"/>
      <c r="B1037" s="104"/>
      <c r="C1037" s="104"/>
      <c r="D1037" s="104"/>
      <c r="E1037" s="104"/>
      <c r="F1037" s="193"/>
      <c r="G1037" s="104"/>
      <c r="H1037" s="104"/>
      <c r="I1037" s="104"/>
      <c r="J1037" s="104"/>
      <c r="K1037" s="104"/>
      <c r="L1037" s="104"/>
      <c r="M1037" s="104"/>
      <c r="N1037" s="104"/>
      <c r="O1037" s="104"/>
      <c r="P1037" s="104"/>
      <c r="Q1037" s="104"/>
      <c r="R1037" s="104"/>
      <c r="S1037" s="104"/>
      <c r="T1037" s="104"/>
      <c r="U1037" s="104"/>
      <c r="V1037" s="104"/>
      <c r="W1037" s="104"/>
      <c r="X1037" s="104"/>
      <c r="Y1037" s="104"/>
      <c r="Z1037" s="104"/>
      <c r="AA1037" s="104"/>
      <c r="AB1037" s="104"/>
      <c r="AC1037" s="104"/>
      <c r="AD1037" s="104"/>
    </row>
    <row r="1038" spans="1:30" ht="12.75">
      <c r="A1038" s="104"/>
      <c r="B1038" s="104"/>
      <c r="C1038" s="104"/>
      <c r="D1038" s="104"/>
      <c r="E1038" s="104"/>
      <c r="F1038" s="193"/>
      <c r="G1038" s="104"/>
      <c r="H1038" s="104"/>
      <c r="I1038" s="104"/>
      <c r="J1038" s="104"/>
      <c r="K1038" s="104"/>
      <c r="L1038" s="104"/>
      <c r="M1038" s="104"/>
      <c r="N1038" s="104"/>
      <c r="O1038" s="104"/>
      <c r="P1038" s="104"/>
      <c r="Q1038" s="104"/>
      <c r="R1038" s="104"/>
      <c r="S1038" s="104"/>
      <c r="T1038" s="104"/>
      <c r="U1038" s="104"/>
      <c r="V1038" s="104"/>
      <c r="W1038" s="104"/>
      <c r="X1038" s="104"/>
      <c r="Y1038" s="104"/>
      <c r="Z1038" s="104"/>
      <c r="AA1038" s="104"/>
      <c r="AB1038" s="104"/>
      <c r="AC1038" s="104"/>
      <c r="AD1038" s="104"/>
    </row>
    <row r="1039" spans="1:30" ht="12.75">
      <c r="A1039" s="104"/>
      <c r="B1039" s="104"/>
      <c r="C1039" s="104"/>
      <c r="D1039" s="104"/>
      <c r="E1039" s="104"/>
      <c r="F1039" s="193"/>
      <c r="G1039" s="104"/>
      <c r="H1039" s="104"/>
      <c r="I1039" s="104"/>
      <c r="J1039" s="104"/>
      <c r="K1039" s="104"/>
      <c r="L1039" s="104"/>
      <c r="M1039" s="104"/>
      <c r="N1039" s="104"/>
      <c r="O1039" s="104"/>
      <c r="P1039" s="104"/>
      <c r="Q1039" s="104"/>
      <c r="R1039" s="104"/>
      <c r="S1039" s="104"/>
      <c r="T1039" s="104"/>
      <c r="U1039" s="104"/>
      <c r="V1039" s="104"/>
      <c r="W1039" s="104"/>
      <c r="X1039" s="104"/>
      <c r="Y1039" s="104"/>
      <c r="Z1039" s="104"/>
      <c r="AA1039" s="104"/>
      <c r="AB1039" s="104"/>
      <c r="AC1039" s="104"/>
      <c r="AD1039" s="104"/>
    </row>
    <row r="1040" spans="1:30" ht="12.75">
      <c r="A1040" s="104"/>
      <c r="B1040" s="104"/>
      <c r="C1040" s="104"/>
      <c r="D1040" s="104"/>
      <c r="E1040" s="104"/>
      <c r="F1040" s="193"/>
      <c r="G1040" s="104"/>
      <c r="H1040" s="104"/>
      <c r="I1040" s="104"/>
      <c r="J1040" s="104"/>
      <c r="K1040" s="104"/>
      <c r="L1040" s="104"/>
      <c r="M1040" s="104"/>
      <c r="N1040" s="104"/>
      <c r="O1040" s="104"/>
      <c r="P1040" s="104"/>
      <c r="Q1040" s="104"/>
      <c r="R1040" s="104"/>
      <c r="S1040" s="104"/>
      <c r="T1040" s="104"/>
      <c r="U1040" s="104"/>
      <c r="V1040" s="104"/>
      <c r="W1040" s="104"/>
      <c r="X1040" s="104"/>
      <c r="Y1040" s="104"/>
      <c r="Z1040" s="104"/>
      <c r="AA1040" s="104"/>
      <c r="AB1040" s="104"/>
      <c r="AC1040" s="104"/>
      <c r="AD1040" s="104"/>
    </row>
    <row r="1041" spans="1:30" ht="12.75">
      <c r="A1041" s="104"/>
      <c r="B1041" s="104"/>
      <c r="C1041" s="104"/>
      <c r="D1041" s="104"/>
      <c r="E1041" s="104"/>
      <c r="F1041" s="193"/>
      <c r="G1041" s="104"/>
      <c r="H1041" s="104"/>
      <c r="I1041" s="104"/>
      <c r="J1041" s="104"/>
      <c r="K1041" s="104"/>
      <c r="L1041" s="104"/>
      <c r="M1041" s="104"/>
      <c r="N1041" s="104"/>
      <c r="O1041" s="104"/>
      <c r="P1041" s="104"/>
      <c r="Q1041" s="104"/>
      <c r="R1041" s="104"/>
      <c r="S1041" s="104"/>
      <c r="T1041" s="104"/>
      <c r="U1041" s="104"/>
      <c r="V1041" s="104"/>
      <c r="W1041" s="104"/>
      <c r="X1041" s="104"/>
      <c r="Y1041" s="104"/>
      <c r="Z1041" s="104"/>
      <c r="AA1041" s="104"/>
      <c r="AB1041" s="104"/>
      <c r="AC1041" s="104"/>
      <c r="AD1041" s="104"/>
    </row>
    <row r="1042" spans="1:30" ht="12.75">
      <c r="A1042" s="104"/>
      <c r="B1042" s="104"/>
      <c r="C1042" s="104"/>
      <c r="D1042" s="104"/>
      <c r="E1042" s="104"/>
      <c r="F1042" s="193"/>
      <c r="G1042" s="104"/>
      <c r="H1042" s="104"/>
      <c r="I1042" s="104"/>
      <c r="J1042" s="104"/>
      <c r="K1042" s="104"/>
      <c r="L1042" s="104"/>
      <c r="M1042" s="104"/>
      <c r="N1042" s="104"/>
      <c r="O1042" s="104"/>
      <c r="P1042" s="104"/>
      <c r="Q1042" s="104"/>
      <c r="R1042" s="104"/>
      <c r="S1042" s="104"/>
      <c r="T1042" s="104"/>
      <c r="U1042" s="104"/>
      <c r="V1042" s="104"/>
      <c r="W1042" s="104"/>
      <c r="X1042" s="104"/>
      <c r="Y1042" s="104"/>
      <c r="Z1042" s="104"/>
      <c r="AA1042" s="104"/>
      <c r="AB1042" s="104"/>
      <c r="AC1042" s="104"/>
      <c r="AD1042" s="104"/>
    </row>
    <row r="1043" spans="1:30" ht="12.75">
      <c r="A1043" s="104"/>
      <c r="B1043" s="104"/>
      <c r="C1043" s="104"/>
      <c r="D1043" s="104"/>
      <c r="E1043" s="104"/>
      <c r="F1043" s="193"/>
      <c r="G1043" s="104"/>
      <c r="H1043" s="104"/>
      <c r="I1043" s="104"/>
      <c r="J1043" s="104"/>
      <c r="K1043" s="104"/>
      <c r="L1043" s="104"/>
      <c r="M1043" s="104"/>
      <c r="N1043" s="104"/>
      <c r="O1043" s="104"/>
      <c r="P1043" s="104"/>
      <c r="Q1043" s="104"/>
      <c r="R1043" s="104"/>
      <c r="S1043" s="104"/>
      <c r="T1043" s="104"/>
      <c r="U1043" s="104"/>
      <c r="V1043" s="104"/>
      <c r="W1043" s="104"/>
      <c r="X1043" s="104"/>
      <c r="Y1043" s="104"/>
      <c r="Z1043" s="104"/>
      <c r="AA1043" s="104"/>
      <c r="AB1043" s="104"/>
      <c r="AC1043" s="104"/>
      <c r="AD1043" s="104"/>
    </row>
    <row r="1044" spans="1:30" ht="12.75">
      <c r="A1044" s="104"/>
      <c r="B1044" s="104"/>
      <c r="C1044" s="104"/>
      <c r="D1044" s="104"/>
      <c r="E1044" s="104"/>
      <c r="F1044" s="193"/>
      <c r="G1044" s="104"/>
      <c r="H1044" s="104"/>
      <c r="I1044" s="104"/>
      <c r="J1044" s="104"/>
      <c r="K1044" s="104"/>
      <c r="L1044" s="104"/>
      <c r="M1044" s="104"/>
      <c r="N1044" s="104"/>
      <c r="O1044" s="104"/>
      <c r="P1044" s="104"/>
      <c r="Q1044" s="104"/>
      <c r="R1044" s="104"/>
      <c r="S1044" s="104"/>
      <c r="T1044" s="104"/>
      <c r="U1044" s="104"/>
      <c r="V1044" s="104"/>
      <c r="W1044" s="104"/>
      <c r="X1044" s="104"/>
      <c r="Y1044" s="104"/>
      <c r="Z1044" s="104"/>
      <c r="AA1044" s="104"/>
      <c r="AB1044" s="104"/>
      <c r="AC1044" s="104"/>
      <c r="AD1044" s="104"/>
    </row>
    <row r="1045" spans="1:30" ht="12.75">
      <c r="A1045" s="104"/>
      <c r="B1045" s="104"/>
      <c r="C1045" s="104"/>
      <c r="D1045" s="104"/>
      <c r="E1045" s="104"/>
      <c r="F1045" s="193"/>
      <c r="G1045" s="104"/>
      <c r="H1045" s="104"/>
      <c r="I1045" s="104"/>
      <c r="J1045" s="104"/>
      <c r="K1045" s="104"/>
      <c r="L1045" s="104"/>
      <c r="M1045" s="104"/>
      <c r="N1045" s="104"/>
      <c r="O1045" s="104"/>
      <c r="P1045" s="104"/>
      <c r="Q1045" s="104"/>
      <c r="R1045" s="104"/>
      <c r="S1045" s="104"/>
      <c r="T1045" s="104"/>
      <c r="U1045" s="104"/>
      <c r="V1045" s="104"/>
      <c r="W1045" s="104"/>
      <c r="X1045" s="104"/>
      <c r="Y1045" s="104"/>
      <c r="Z1045" s="104"/>
      <c r="AA1045" s="104"/>
      <c r="AB1045" s="104"/>
      <c r="AC1045" s="104"/>
      <c r="AD1045" s="104"/>
    </row>
    <row r="1046" spans="1:30" ht="12.75">
      <c r="A1046" s="104"/>
      <c r="B1046" s="104"/>
      <c r="C1046" s="104"/>
      <c r="D1046" s="104"/>
      <c r="E1046" s="104"/>
      <c r="F1046" s="193"/>
      <c r="G1046" s="104"/>
      <c r="H1046" s="104"/>
      <c r="I1046" s="104"/>
      <c r="J1046" s="104"/>
      <c r="K1046" s="104"/>
      <c r="L1046" s="104"/>
      <c r="M1046" s="104"/>
      <c r="N1046" s="104"/>
      <c r="O1046" s="104"/>
      <c r="P1046" s="104"/>
      <c r="Q1046" s="104"/>
      <c r="R1046" s="104"/>
      <c r="S1046" s="104"/>
      <c r="T1046" s="104"/>
      <c r="U1046" s="104"/>
      <c r="V1046" s="104"/>
      <c r="W1046" s="104"/>
      <c r="X1046" s="104"/>
      <c r="Y1046" s="104"/>
      <c r="Z1046" s="104"/>
      <c r="AA1046" s="104"/>
      <c r="AB1046" s="104"/>
      <c r="AC1046" s="104"/>
      <c r="AD1046" s="104"/>
    </row>
    <row r="1047" spans="1:30" ht="12.75">
      <c r="A1047" s="104"/>
      <c r="B1047" s="104"/>
      <c r="C1047" s="104"/>
      <c r="D1047" s="104"/>
      <c r="E1047" s="104"/>
      <c r="F1047" s="193"/>
      <c r="G1047" s="104"/>
      <c r="H1047" s="104"/>
      <c r="I1047" s="104"/>
      <c r="J1047" s="104"/>
      <c r="K1047" s="104"/>
      <c r="L1047" s="104"/>
      <c r="M1047" s="104"/>
      <c r="N1047" s="104"/>
      <c r="O1047" s="104"/>
      <c r="P1047" s="104"/>
      <c r="Q1047" s="104"/>
      <c r="R1047" s="104"/>
      <c r="S1047" s="104"/>
      <c r="T1047" s="104"/>
      <c r="U1047" s="104"/>
      <c r="V1047" s="104"/>
      <c r="W1047" s="104"/>
      <c r="X1047" s="104"/>
      <c r="Y1047" s="104"/>
      <c r="Z1047" s="104"/>
      <c r="AA1047" s="104"/>
      <c r="AB1047" s="104"/>
      <c r="AC1047" s="104"/>
      <c r="AD1047" s="104"/>
    </row>
    <row r="1048" spans="1:30" ht="12.75">
      <c r="A1048" s="104"/>
      <c r="B1048" s="104"/>
      <c r="C1048" s="104"/>
      <c r="D1048" s="104"/>
      <c r="E1048" s="104"/>
      <c r="F1048" s="193"/>
      <c r="G1048" s="104"/>
      <c r="H1048" s="104"/>
      <c r="I1048" s="104"/>
      <c r="J1048" s="104"/>
      <c r="K1048" s="104"/>
      <c r="L1048" s="104"/>
      <c r="M1048" s="104"/>
      <c r="N1048" s="104"/>
      <c r="O1048" s="104"/>
      <c r="P1048" s="104"/>
      <c r="Q1048" s="104"/>
      <c r="R1048" s="104"/>
      <c r="S1048" s="104"/>
      <c r="T1048" s="104"/>
      <c r="U1048" s="104"/>
      <c r="V1048" s="104"/>
      <c r="W1048" s="104"/>
      <c r="X1048" s="104"/>
      <c r="Y1048" s="104"/>
      <c r="Z1048" s="104"/>
      <c r="AA1048" s="104"/>
      <c r="AB1048" s="104"/>
      <c r="AC1048" s="104"/>
      <c r="AD1048" s="104"/>
    </row>
    <row r="1049" spans="1:30" ht="12.75">
      <c r="A1049" s="104"/>
      <c r="B1049" s="104"/>
      <c r="C1049" s="104"/>
      <c r="D1049" s="104"/>
      <c r="E1049" s="104"/>
      <c r="F1049" s="193"/>
      <c r="G1049" s="104"/>
      <c r="H1049" s="104"/>
      <c r="I1049" s="104"/>
      <c r="J1049" s="104"/>
      <c r="K1049" s="104"/>
      <c r="L1049" s="104"/>
      <c r="M1049" s="104"/>
      <c r="N1049" s="104"/>
      <c r="O1049" s="104"/>
      <c r="P1049" s="104"/>
      <c r="Q1049" s="104"/>
      <c r="R1049" s="104"/>
      <c r="S1049" s="104"/>
      <c r="T1049" s="104"/>
      <c r="U1049" s="104"/>
      <c r="V1049" s="104"/>
      <c r="W1049" s="104"/>
      <c r="X1049" s="104"/>
      <c r="Y1049" s="104"/>
      <c r="Z1049" s="104"/>
      <c r="AA1049" s="104"/>
      <c r="AB1049" s="104"/>
      <c r="AC1049" s="104"/>
      <c r="AD1049" s="104"/>
    </row>
    <row r="1050" spans="1:30" ht="12.75">
      <c r="A1050" s="104"/>
      <c r="B1050" s="104"/>
      <c r="C1050" s="104"/>
      <c r="D1050" s="104"/>
      <c r="E1050" s="104"/>
      <c r="F1050" s="193"/>
      <c r="G1050" s="104"/>
      <c r="H1050" s="104"/>
      <c r="I1050" s="104"/>
      <c r="J1050" s="104"/>
      <c r="K1050" s="104"/>
      <c r="L1050" s="104"/>
      <c r="M1050" s="104"/>
      <c r="N1050" s="104"/>
      <c r="O1050" s="104"/>
      <c r="P1050" s="104"/>
      <c r="Q1050" s="104"/>
      <c r="R1050" s="104"/>
      <c r="S1050" s="104"/>
      <c r="T1050" s="104"/>
      <c r="U1050" s="104"/>
      <c r="V1050" s="104"/>
      <c r="W1050" s="104"/>
      <c r="X1050" s="104"/>
      <c r="Y1050" s="104"/>
      <c r="Z1050" s="104"/>
      <c r="AA1050" s="104"/>
      <c r="AB1050" s="104"/>
      <c r="AC1050" s="104"/>
      <c r="AD1050" s="104"/>
    </row>
    <row r="1051" spans="1:30" ht="12.75">
      <c r="A1051" s="104"/>
      <c r="B1051" s="104"/>
      <c r="C1051" s="104"/>
      <c r="D1051" s="104"/>
      <c r="E1051" s="104"/>
      <c r="F1051" s="193"/>
      <c r="G1051" s="104"/>
      <c r="H1051" s="104"/>
      <c r="I1051" s="104"/>
      <c r="J1051" s="104"/>
      <c r="K1051" s="104"/>
      <c r="L1051" s="104"/>
      <c r="M1051" s="104"/>
      <c r="N1051" s="104"/>
      <c r="O1051" s="104"/>
      <c r="P1051" s="104"/>
      <c r="Q1051" s="104"/>
      <c r="R1051" s="104"/>
      <c r="S1051" s="104"/>
      <c r="T1051" s="104"/>
      <c r="U1051" s="104"/>
      <c r="V1051" s="104"/>
      <c r="W1051" s="104"/>
      <c r="X1051" s="104"/>
      <c r="Y1051" s="104"/>
      <c r="Z1051" s="104"/>
      <c r="AA1051" s="104"/>
      <c r="AB1051" s="104"/>
      <c r="AC1051" s="104"/>
      <c r="AD1051" s="104"/>
    </row>
    <row r="1052" spans="1:30" ht="12.75">
      <c r="A1052" s="104"/>
      <c r="B1052" s="104"/>
      <c r="C1052" s="104"/>
      <c r="D1052" s="104"/>
      <c r="E1052" s="104"/>
      <c r="F1052" s="193"/>
      <c r="G1052" s="104"/>
      <c r="H1052" s="104"/>
      <c r="I1052" s="104"/>
      <c r="J1052" s="104"/>
      <c r="K1052" s="104"/>
      <c r="L1052" s="104"/>
      <c r="M1052" s="104"/>
      <c r="N1052" s="104"/>
      <c r="O1052" s="104"/>
      <c r="P1052" s="104"/>
      <c r="Q1052" s="104"/>
      <c r="R1052" s="104"/>
      <c r="S1052" s="104"/>
      <c r="T1052" s="104"/>
      <c r="U1052" s="104"/>
      <c r="V1052" s="104"/>
      <c r="W1052" s="104"/>
      <c r="X1052" s="104"/>
      <c r="Y1052" s="104"/>
      <c r="Z1052" s="104"/>
      <c r="AA1052" s="104"/>
      <c r="AB1052" s="104"/>
      <c r="AC1052" s="104"/>
      <c r="AD1052" s="104"/>
    </row>
    <row r="1053" spans="1:30" ht="12.75">
      <c r="A1053" s="104"/>
      <c r="B1053" s="104"/>
      <c r="C1053" s="104"/>
      <c r="D1053" s="104"/>
      <c r="E1053" s="104"/>
      <c r="F1053" s="193"/>
      <c r="G1053" s="104"/>
      <c r="H1053" s="104"/>
      <c r="I1053" s="104"/>
      <c r="J1053" s="104"/>
      <c r="K1053" s="104"/>
      <c r="L1053" s="104"/>
      <c r="M1053" s="104"/>
      <c r="N1053" s="104"/>
      <c r="O1053" s="104"/>
      <c r="P1053" s="104"/>
      <c r="Q1053" s="104"/>
      <c r="R1053" s="104"/>
      <c r="S1053" s="104"/>
      <c r="T1053" s="104"/>
      <c r="U1053" s="104"/>
      <c r="V1053" s="104"/>
      <c r="W1053" s="104"/>
      <c r="X1053" s="104"/>
      <c r="Y1053" s="104"/>
      <c r="Z1053" s="104"/>
      <c r="AA1053" s="104"/>
      <c r="AB1053" s="104"/>
      <c r="AC1053" s="104"/>
      <c r="AD1053" s="104"/>
    </row>
    <row r="1054" spans="1:30" ht="12.75">
      <c r="A1054" s="104"/>
      <c r="B1054" s="104"/>
      <c r="C1054" s="104"/>
      <c r="D1054" s="104"/>
      <c r="E1054" s="104"/>
      <c r="F1054" s="193"/>
      <c r="G1054" s="104"/>
      <c r="H1054" s="104"/>
      <c r="I1054" s="104"/>
      <c r="J1054" s="104"/>
      <c r="K1054" s="104"/>
      <c r="L1054" s="104"/>
      <c r="M1054" s="104"/>
      <c r="N1054" s="104"/>
      <c r="O1054" s="104"/>
      <c r="P1054" s="104"/>
      <c r="Q1054" s="104"/>
      <c r="R1054" s="104"/>
      <c r="S1054" s="104"/>
      <c r="T1054" s="104"/>
      <c r="U1054" s="104"/>
      <c r="V1054" s="104"/>
      <c r="W1054" s="104"/>
      <c r="X1054" s="104"/>
      <c r="Y1054" s="104"/>
      <c r="Z1054" s="104"/>
      <c r="AA1054" s="104"/>
      <c r="AB1054" s="104"/>
      <c r="AC1054" s="104"/>
      <c r="AD1054" s="104"/>
    </row>
    <row r="1055" spans="1:30" ht="12.75">
      <c r="A1055" s="104"/>
      <c r="B1055" s="104"/>
      <c r="C1055" s="104"/>
      <c r="D1055" s="104"/>
      <c r="E1055" s="104"/>
      <c r="F1055" s="193"/>
      <c r="G1055" s="104"/>
      <c r="H1055" s="104"/>
      <c r="I1055" s="104"/>
      <c r="J1055" s="104"/>
      <c r="K1055" s="104"/>
      <c r="L1055" s="104"/>
      <c r="M1055" s="104"/>
      <c r="N1055" s="104"/>
      <c r="O1055" s="104"/>
      <c r="P1055" s="104"/>
      <c r="Q1055" s="104"/>
      <c r="R1055" s="104"/>
      <c r="S1055" s="104"/>
      <c r="T1055" s="104"/>
      <c r="U1055" s="104"/>
      <c r="V1055" s="104"/>
      <c r="W1055" s="104"/>
      <c r="X1055" s="104"/>
      <c r="Y1055" s="104"/>
      <c r="Z1055" s="104"/>
      <c r="AA1055" s="104"/>
      <c r="AB1055" s="104"/>
      <c r="AC1055" s="104"/>
      <c r="AD1055" s="104"/>
    </row>
    <row r="1056" spans="1:30" ht="12.75">
      <c r="A1056" s="104"/>
      <c r="B1056" s="104"/>
      <c r="C1056" s="104"/>
      <c r="D1056" s="104"/>
      <c r="E1056" s="104"/>
      <c r="F1056" s="193"/>
      <c r="G1056" s="104"/>
      <c r="H1056" s="104"/>
      <c r="I1056" s="104"/>
      <c r="J1056" s="104"/>
      <c r="K1056" s="104"/>
      <c r="L1056" s="104"/>
      <c r="M1056" s="104"/>
      <c r="N1056" s="104"/>
      <c r="O1056" s="104"/>
      <c r="P1056" s="104"/>
      <c r="Q1056" s="104"/>
      <c r="R1056" s="104"/>
      <c r="S1056" s="104"/>
      <c r="T1056" s="104"/>
      <c r="U1056" s="104"/>
      <c r="V1056" s="104"/>
      <c r="W1056" s="104"/>
      <c r="X1056" s="104"/>
      <c r="Y1056" s="104"/>
      <c r="Z1056" s="104"/>
      <c r="AA1056" s="104"/>
      <c r="AB1056" s="104"/>
      <c r="AC1056" s="104"/>
      <c r="AD1056" s="104"/>
    </row>
    <row r="1057" spans="1:30" ht="12.75">
      <c r="A1057" s="104"/>
      <c r="B1057" s="104"/>
      <c r="C1057" s="104"/>
      <c r="D1057" s="104"/>
      <c r="E1057" s="104"/>
      <c r="F1057" s="193"/>
      <c r="G1057" s="104"/>
      <c r="H1057" s="104"/>
      <c r="I1057" s="104"/>
      <c r="J1057" s="104"/>
      <c r="K1057" s="104"/>
      <c r="L1057" s="104"/>
      <c r="M1057" s="104"/>
      <c r="N1057" s="104"/>
      <c r="O1057" s="104"/>
      <c r="P1057" s="104"/>
      <c r="Q1057" s="104"/>
      <c r="R1057" s="104"/>
      <c r="S1057" s="104"/>
      <c r="T1057" s="104"/>
      <c r="U1057" s="104"/>
      <c r="V1057" s="104"/>
      <c r="W1057" s="104"/>
      <c r="X1057" s="104"/>
      <c r="Y1057" s="104"/>
      <c r="Z1057" s="104"/>
      <c r="AA1057" s="104"/>
      <c r="AB1057" s="104"/>
      <c r="AC1057" s="104"/>
      <c r="AD1057" s="104"/>
    </row>
    <row r="1058" spans="1:30" ht="12.75">
      <c r="A1058" s="104"/>
      <c r="B1058" s="104"/>
      <c r="C1058" s="104"/>
      <c r="D1058" s="104"/>
      <c r="E1058" s="104"/>
      <c r="F1058" s="193"/>
      <c r="G1058" s="104"/>
      <c r="H1058" s="104"/>
      <c r="I1058" s="104"/>
      <c r="J1058" s="104"/>
      <c r="K1058" s="104"/>
      <c r="L1058" s="104"/>
      <c r="M1058" s="104"/>
      <c r="N1058" s="104"/>
      <c r="O1058" s="104"/>
      <c r="P1058" s="104"/>
      <c r="Q1058" s="104"/>
      <c r="R1058" s="104"/>
      <c r="S1058" s="104"/>
      <c r="T1058" s="104"/>
      <c r="U1058" s="104"/>
      <c r="V1058" s="104"/>
      <c r="W1058" s="104"/>
      <c r="X1058" s="104"/>
      <c r="Y1058" s="104"/>
      <c r="Z1058" s="104"/>
      <c r="AA1058" s="104"/>
      <c r="AB1058" s="104"/>
      <c r="AC1058" s="104"/>
      <c r="AD1058" s="104"/>
    </row>
    <row r="1059" spans="1:30" ht="12.75">
      <c r="A1059" s="104"/>
      <c r="B1059" s="104"/>
      <c r="C1059" s="104"/>
      <c r="D1059" s="104"/>
      <c r="E1059" s="104"/>
      <c r="F1059" s="193"/>
      <c r="G1059" s="104"/>
      <c r="H1059" s="104"/>
      <c r="I1059" s="104"/>
      <c r="J1059" s="104"/>
      <c r="K1059" s="104"/>
      <c r="L1059" s="104"/>
      <c r="M1059" s="104"/>
      <c r="N1059" s="104"/>
      <c r="O1059" s="104"/>
      <c r="P1059" s="104"/>
      <c r="Q1059" s="104"/>
      <c r="R1059" s="104"/>
      <c r="S1059" s="104"/>
      <c r="T1059" s="104"/>
      <c r="U1059" s="104"/>
      <c r="V1059" s="104"/>
      <c r="W1059" s="104"/>
      <c r="X1059" s="104"/>
      <c r="Y1059" s="104"/>
      <c r="Z1059" s="104"/>
      <c r="AA1059" s="104"/>
      <c r="AB1059" s="104"/>
      <c r="AC1059" s="104"/>
      <c r="AD1059" s="104"/>
    </row>
    <row r="1060" spans="1:30" ht="12.75">
      <c r="A1060" s="104"/>
      <c r="B1060" s="104"/>
      <c r="C1060" s="104"/>
      <c r="D1060" s="104"/>
      <c r="E1060" s="104"/>
      <c r="F1060" s="193"/>
      <c r="G1060" s="104"/>
      <c r="H1060" s="104"/>
      <c r="I1060" s="104"/>
      <c r="J1060" s="104"/>
      <c r="K1060" s="104"/>
      <c r="L1060" s="104"/>
      <c r="M1060" s="104"/>
      <c r="N1060" s="104"/>
      <c r="O1060" s="104"/>
      <c r="P1060" s="104"/>
      <c r="Q1060" s="104"/>
      <c r="R1060" s="104"/>
      <c r="S1060" s="104"/>
      <c r="T1060" s="104"/>
      <c r="U1060" s="104"/>
      <c r="V1060" s="104"/>
      <c r="W1060" s="104"/>
      <c r="X1060" s="104"/>
      <c r="Y1060" s="104"/>
      <c r="Z1060" s="104"/>
      <c r="AA1060" s="104"/>
      <c r="AB1060" s="104"/>
      <c r="AC1060" s="104"/>
      <c r="AD1060" s="104"/>
    </row>
    <row r="1061" spans="1:30" ht="12.75">
      <c r="A1061" s="104"/>
      <c r="B1061" s="104"/>
      <c r="C1061" s="104"/>
      <c r="D1061" s="104"/>
      <c r="E1061" s="104"/>
      <c r="F1061" s="193"/>
      <c r="G1061" s="104"/>
      <c r="H1061" s="104"/>
      <c r="I1061" s="104"/>
      <c r="J1061" s="104"/>
      <c r="K1061" s="104"/>
      <c r="L1061" s="104"/>
      <c r="M1061" s="104"/>
      <c r="N1061" s="104"/>
      <c r="O1061" s="104"/>
      <c r="P1061" s="104"/>
      <c r="Q1061" s="104"/>
      <c r="R1061" s="104"/>
      <c r="S1061" s="104"/>
      <c r="T1061" s="104"/>
      <c r="U1061" s="104"/>
      <c r="V1061" s="104"/>
      <c r="W1061" s="104"/>
      <c r="X1061" s="104"/>
      <c r="Y1061" s="104"/>
      <c r="Z1061" s="104"/>
      <c r="AA1061" s="104"/>
      <c r="AB1061" s="104"/>
      <c r="AC1061" s="104"/>
      <c r="AD1061" s="104"/>
    </row>
    <row r="1062" spans="1:30" ht="12.75">
      <c r="A1062" s="104"/>
      <c r="B1062" s="104"/>
      <c r="C1062" s="104"/>
      <c r="D1062" s="104"/>
      <c r="E1062" s="104"/>
      <c r="F1062" s="193"/>
      <c r="G1062" s="104"/>
      <c r="H1062" s="104"/>
      <c r="I1062" s="104"/>
      <c r="J1062" s="104"/>
      <c r="K1062" s="104"/>
      <c r="L1062" s="104"/>
      <c r="M1062" s="104"/>
      <c r="N1062" s="104"/>
      <c r="O1062" s="104"/>
      <c r="P1062" s="104"/>
      <c r="Q1062" s="104"/>
      <c r="R1062" s="104"/>
      <c r="S1062" s="104"/>
      <c r="T1062" s="104"/>
      <c r="U1062" s="104"/>
      <c r="V1062" s="104"/>
      <c r="W1062" s="104"/>
      <c r="X1062" s="104"/>
      <c r="Y1062" s="104"/>
      <c r="Z1062" s="104"/>
      <c r="AA1062" s="104"/>
      <c r="AB1062" s="104"/>
      <c r="AC1062" s="104"/>
      <c r="AD1062" s="104"/>
    </row>
    <row r="1063" spans="1:30" ht="12.75">
      <c r="A1063" s="104"/>
      <c r="B1063" s="104"/>
      <c r="C1063" s="104"/>
      <c r="D1063" s="104"/>
      <c r="E1063" s="104"/>
      <c r="F1063" s="193"/>
      <c r="G1063" s="104"/>
      <c r="H1063" s="104"/>
      <c r="I1063" s="104"/>
      <c r="J1063" s="104"/>
      <c r="K1063" s="104"/>
      <c r="L1063" s="104"/>
      <c r="M1063" s="104"/>
      <c r="N1063" s="104"/>
      <c r="O1063" s="104"/>
      <c r="P1063" s="104"/>
      <c r="Q1063" s="104"/>
      <c r="R1063" s="104"/>
      <c r="S1063" s="104"/>
      <c r="T1063" s="104"/>
      <c r="U1063" s="104"/>
      <c r="V1063" s="104"/>
      <c r="W1063" s="104"/>
      <c r="X1063" s="104"/>
      <c r="Y1063" s="104"/>
      <c r="Z1063" s="104"/>
      <c r="AA1063" s="104"/>
      <c r="AB1063" s="104"/>
      <c r="AC1063" s="104"/>
      <c r="AD1063" s="104"/>
    </row>
    <row r="1064" spans="1:30" ht="12.75">
      <c r="A1064" s="104"/>
      <c r="B1064" s="104"/>
      <c r="C1064" s="104"/>
      <c r="D1064" s="104"/>
      <c r="E1064" s="104"/>
      <c r="F1064" s="193"/>
      <c r="G1064" s="104"/>
      <c r="H1064" s="104"/>
      <c r="I1064" s="104"/>
      <c r="J1064" s="104"/>
      <c r="K1064" s="104"/>
      <c r="L1064" s="104"/>
      <c r="M1064" s="104"/>
      <c r="N1064" s="104"/>
      <c r="O1064" s="104"/>
      <c r="P1064" s="104"/>
      <c r="Q1064" s="104"/>
      <c r="R1064" s="104"/>
      <c r="S1064" s="104"/>
      <c r="T1064" s="104"/>
      <c r="U1064" s="104"/>
      <c r="V1064" s="104"/>
      <c r="W1064" s="104"/>
      <c r="X1064" s="104"/>
      <c r="Y1064" s="104"/>
      <c r="Z1064" s="104"/>
      <c r="AA1064" s="104"/>
      <c r="AB1064" s="104"/>
      <c r="AC1064" s="104"/>
      <c r="AD1064" s="104"/>
    </row>
    <row r="1065" spans="1:30" ht="12.75">
      <c r="A1065" s="104"/>
      <c r="B1065" s="104"/>
      <c r="C1065" s="104"/>
      <c r="D1065" s="104"/>
      <c r="E1065" s="104"/>
      <c r="F1065" s="193"/>
      <c r="G1065" s="104"/>
      <c r="H1065" s="104"/>
      <c r="I1065" s="104"/>
      <c r="J1065" s="104"/>
      <c r="K1065" s="104"/>
      <c r="L1065" s="104"/>
      <c r="M1065" s="104"/>
      <c r="N1065" s="104"/>
      <c r="O1065" s="104"/>
      <c r="P1065" s="104"/>
      <c r="Q1065" s="104"/>
      <c r="R1065" s="104"/>
      <c r="S1065" s="104"/>
      <c r="T1065" s="104"/>
      <c r="U1065" s="104"/>
      <c r="V1065" s="104"/>
      <c r="W1065" s="104"/>
      <c r="X1065" s="104"/>
      <c r="Y1065" s="104"/>
      <c r="Z1065" s="104"/>
      <c r="AA1065" s="104"/>
      <c r="AB1065" s="104"/>
      <c r="AC1065" s="104"/>
      <c r="AD1065" s="104"/>
    </row>
    <row r="1066" spans="1:30" ht="12.75">
      <c r="A1066" s="104"/>
      <c r="B1066" s="104"/>
      <c r="C1066" s="104"/>
      <c r="D1066" s="104"/>
      <c r="E1066" s="104"/>
      <c r="F1066" s="193"/>
      <c r="G1066" s="104"/>
      <c r="H1066" s="104"/>
      <c r="I1066" s="104"/>
      <c r="J1066" s="104"/>
      <c r="K1066" s="104"/>
      <c r="L1066" s="104"/>
      <c r="M1066" s="104"/>
      <c r="N1066" s="104"/>
      <c r="O1066" s="104"/>
      <c r="P1066" s="104"/>
      <c r="Q1066" s="104"/>
      <c r="R1066" s="104"/>
      <c r="S1066" s="104"/>
      <c r="T1066" s="104"/>
      <c r="U1066" s="104"/>
      <c r="V1066" s="104"/>
      <c r="W1066" s="104"/>
      <c r="X1066" s="104"/>
      <c r="Y1066" s="104"/>
      <c r="Z1066" s="104"/>
      <c r="AA1066" s="104"/>
      <c r="AB1066" s="104"/>
      <c r="AC1066" s="104"/>
      <c r="AD1066" s="104"/>
    </row>
    <row r="1067" spans="1:30" ht="12.75">
      <c r="A1067" s="104"/>
      <c r="B1067" s="104"/>
      <c r="C1067" s="104"/>
      <c r="D1067" s="104"/>
      <c r="E1067" s="104"/>
      <c r="F1067" s="193"/>
      <c r="G1067" s="104"/>
      <c r="H1067" s="104"/>
      <c r="I1067" s="104"/>
      <c r="J1067" s="104"/>
      <c r="K1067" s="104"/>
      <c r="L1067" s="104"/>
      <c r="M1067" s="104"/>
      <c r="N1067" s="104"/>
      <c r="O1067" s="104"/>
      <c r="P1067" s="104"/>
      <c r="Q1067" s="104"/>
      <c r="R1067" s="104"/>
      <c r="S1067" s="104"/>
      <c r="T1067" s="104"/>
      <c r="U1067" s="104"/>
      <c r="V1067" s="104"/>
      <c r="W1067" s="104"/>
      <c r="X1067" s="104"/>
      <c r="Y1067" s="104"/>
      <c r="Z1067" s="104"/>
      <c r="AA1067" s="104"/>
      <c r="AB1067" s="104"/>
      <c r="AC1067" s="104"/>
      <c r="AD1067" s="104"/>
    </row>
    <row r="1068" spans="1:30" ht="12.75">
      <c r="A1068" s="104"/>
      <c r="B1068" s="104"/>
      <c r="C1068" s="104"/>
      <c r="D1068" s="104"/>
      <c r="E1068" s="104"/>
      <c r="F1068" s="193"/>
      <c r="G1068" s="104"/>
      <c r="H1068" s="104"/>
      <c r="I1068" s="104"/>
      <c r="J1068" s="104"/>
      <c r="K1068" s="104"/>
      <c r="L1068" s="104"/>
      <c r="M1068" s="104"/>
      <c r="N1068" s="104"/>
      <c r="O1068" s="104"/>
      <c r="P1068" s="104"/>
      <c r="Q1068" s="104"/>
      <c r="R1068" s="104"/>
      <c r="S1068" s="104"/>
      <c r="T1068" s="104"/>
      <c r="U1068" s="104"/>
      <c r="V1068" s="104"/>
      <c r="W1068" s="104"/>
      <c r="X1068" s="104"/>
      <c r="Y1068" s="104"/>
      <c r="Z1068" s="104"/>
      <c r="AA1068" s="104"/>
      <c r="AB1068" s="104"/>
      <c r="AC1068" s="104"/>
      <c r="AD1068" s="104"/>
    </row>
    <row r="1069" spans="1:30" ht="12.75">
      <c r="A1069" s="104"/>
      <c r="B1069" s="104"/>
      <c r="C1069" s="104"/>
      <c r="D1069" s="104"/>
      <c r="E1069" s="104"/>
      <c r="F1069" s="193"/>
      <c r="G1069" s="104"/>
      <c r="H1069" s="104"/>
      <c r="I1069" s="104"/>
      <c r="J1069" s="104"/>
      <c r="K1069" s="104"/>
      <c r="L1069" s="104"/>
      <c r="M1069" s="104"/>
      <c r="N1069" s="104"/>
      <c r="O1069" s="104"/>
      <c r="P1069" s="104"/>
      <c r="Q1069" s="104"/>
      <c r="R1069" s="104"/>
      <c r="S1069" s="104"/>
      <c r="T1069" s="104"/>
      <c r="U1069" s="104"/>
      <c r="V1069" s="104"/>
      <c r="W1069" s="104"/>
      <c r="X1069" s="104"/>
      <c r="Y1069" s="104"/>
      <c r="Z1069" s="104"/>
      <c r="AA1069" s="104"/>
      <c r="AB1069" s="104"/>
      <c r="AC1069" s="104"/>
      <c r="AD1069" s="104"/>
    </row>
    <row r="1070" spans="1:30" ht="12.75">
      <c r="A1070" s="104"/>
      <c r="B1070" s="104"/>
      <c r="C1070" s="104"/>
      <c r="D1070" s="104"/>
      <c r="E1070" s="104"/>
      <c r="F1070" s="193"/>
      <c r="G1070" s="104"/>
      <c r="H1070" s="104"/>
      <c r="I1070" s="104"/>
      <c r="J1070" s="104"/>
      <c r="K1070" s="104"/>
      <c r="L1070" s="104"/>
      <c r="M1070" s="104"/>
      <c r="N1070" s="104"/>
      <c r="O1070" s="104"/>
      <c r="P1070" s="104"/>
      <c r="Q1070" s="104"/>
      <c r="R1070" s="104"/>
      <c r="S1070" s="104"/>
      <c r="T1070" s="104"/>
      <c r="U1070" s="104"/>
      <c r="V1070" s="104"/>
      <c r="W1070" s="104"/>
      <c r="X1070" s="104"/>
      <c r="Y1070" s="104"/>
      <c r="Z1070" s="104"/>
      <c r="AA1070" s="104"/>
      <c r="AB1070" s="104"/>
      <c r="AC1070" s="104"/>
      <c r="AD1070" s="104"/>
    </row>
    <row r="1071" spans="1:30" ht="12.75">
      <c r="A1071" s="104"/>
      <c r="B1071" s="104"/>
      <c r="C1071" s="104"/>
      <c r="D1071" s="104"/>
      <c r="E1071" s="104"/>
      <c r="F1071" s="193"/>
      <c r="G1071" s="104"/>
      <c r="H1071" s="104"/>
      <c r="I1071" s="104"/>
      <c r="J1071" s="104"/>
      <c r="K1071" s="104"/>
      <c r="L1071" s="104"/>
      <c r="M1071" s="104"/>
      <c r="N1071" s="104"/>
      <c r="O1071" s="104"/>
      <c r="P1071" s="104"/>
      <c r="Q1071" s="104"/>
      <c r="R1071" s="104"/>
      <c r="S1071" s="104"/>
      <c r="T1071" s="104"/>
      <c r="U1071" s="104"/>
      <c r="V1071" s="104"/>
      <c r="W1071" s="104"/>
      <c r="X1071" s="104"/>
      <c r="Y1071" s="104"/>
      <c r="Z1071" s="104"/>
      <c r="AA1071" s="104"/>
      <c r="AB1071" s="104"/>
      <c r="AC1071" s="104"/>
      <c r="AD1071" s="104"/>
    </row>
    <row r="1072" spans="1:30" ht="12.75">
      <c r="A1072" s="104"/>
      <c r="B1072" s="104"/>
      <c r="C1072" s="104"/>
      <c r="D1072" s="104"/>
      <c r="E1072" s="104"/>
      <c r="F1072" s="193"/>
      <c r="G1072" s="104"/>
      <c r="H1072" s="104"/>
      <c r="I1072" s="104"/>
      <c r="J1072" s="104"/>
      <c r="K1072" s="104"/>
      <c r="L1072" s="104"/>
      <c r="M1072" s="104"/>
      <c r="N1072" s="104"/>
      <c r="O1072" s="104"/>
      <c r="P1072" s="104"/>
      <c r="Q1072" s="104"/>
      <c r="R1072" s="104"/>
      <c r="S1072" s="104"/>
      <c r="T1072" s="104"/>
      <c r="U1072" s="104"/>
      <c r="V1072" s="104"/>
      <c r="W1072" s="104"/>
      <c r="X1072" s="104"/>
      <c r="Y1072" s="104"/>
      <c r="Z1072" s="104"/>
      <c r="AA1072" s="104"/>
      <c r="AB1072" s="104"/>
      <c r="AC1072" s="104"/>
      <c r="AD1072" s="104"/>
    </row>
    <row r="1073" spans="1:30" ht="12.75">
      <c r="A1073" s="104"/>
      <c r="B1073" s="104"/>
      <c r="C1073" s="104"/>
      <c r="D1073" s="104"/>
      <c r="E1073" s="104"/>
      <c r="F1073" s="193"/>
      <c r="G1073" s="104"/>
      <c r="H1073" s="104"/>
      <c r="I1073" s="104"/>
      <c r="J1073" s="104"/>
      <c r="K1073" s="104"/>
      <c r="L1073" s="104"/>
      <c r="M1073" s="104"/>
      <c r="N1073" s="104"/>
      <c r="O1073" s="104"/>
      <c r="P1073" s="104"/>
      <c r="Q1073" s="104"/>
      <c r="R1073" s="104"/>
      <c r="S1073" s="104"/>
      <c r="T1073" s="104"/>
      <c r="U1073" s="104"/>
      <c r="V1073" s="104"/>
      <c r="W1073" s="104"/>
      <c r="X1073" s="104"/>
      <c r="Y1073" s="104"/>
      <c r="Z1073" s="104"/>
      <c r="AA1073" s="104"/>
      <c r="AB1073" s="104"/>
      <c r="AC1073" s="104"/>
      <c r="AD1073" s="104"/>
    </row>
    <row r="1074" spans="1:30" ht="12.75">
      <c r="A1074" s="104"/>
      <c r="B1074" s="104"/>
      <c r="C1074" s="104"/>
      <c r="D1074" s="104"/>
      <c r="E1074" s="104"/>
      <c r="F1074" s="193"/>
      <c r="G1074" s="104"/>
      <c r="H1074" s="104"/>
      <c r="I1074" s="104"/>
      <c r="J1074" s="104"/>
      <c r="K1074" s="104"/>
      <c r="L1074" s="104"/>
      <c r="M1074" s="104"/>
      <c r="N1074" s="104"/>
      <c r="O1074" s="104"/>
      <c r="P1074" s="104"/>
      <c r="Q1074" s="104"/>
      <c r="R1074" s="104"/>
      <c r="S1074" s="104"/>
      <c r="T1074" s="104"/>
      <c r="U1074" s="104"/>
      <c r="V1074" s="104"/>
      <c r="W1074" s="104"/>
      <c r="X1074" s="104"/>
      <c r="Y1074" s="104"/>
      <c r="Z1074" s="104"/>
      <c r="AA1074" s="104"/>
      <c r="AB1074" s="104"/>
      <c r="AC1074" s="104"/>
      <c r="AD1074" s="104"/>
    </row>
    <row r="1075" spans="1:30" ht="12.75">
      <c r="A1075" s="104"/>
      <c r="B1075" s="104"/>
      <c r="C1075" s="104"/>
      <c r="D1075" s="104"/>
      <c r="E1075" s="104"/>
      <c r="F1075" s="193"/>
      <c r="G1075" s="104"/>
      <c r="H1075" s="104"/>
      <c r="I1075" s="104"/>
      <c r="J1075" s="104"/>
      <c r="K1075" s="104"/>
      <c r="L1075" s="104"/>
      <c r="M1075" s="104"/>
      <c r="N1075" s="104"/>
      <c r="O1075" s="104"/>
      <c r="P1075" s="104"/>
      <c r="Q1075" s="104"/>
      <c r="R1075" s="104"/>
      <c r="S1075" s="104"/>
      <c r="T1075" s="104"/>
      <c r="U1075" s="104"/>
      <c r="V1075" s="104"/>
      <c r="W1075" s="104"/>
      <c r="X1075" s="104"/>
      <c r="Y1075" s="104"/>
      <c r="Z1075" s="104"/>
      <c r="AA1075" s="104"/>
      <c r="AB1075" s="104"/>
      <c r="AC1075" s="104"/>
      <c r="AD1075" s="104"/>
    </row>
    <row r="1076" spans="1:30" ht="12.75">
      <c r="A1076" s="104"/>
      <c r="B1076" s="104"/>
      <c r="C1076" s="104"/>
      <c r="D1076" s="104"/>
      <c r="E1076" s="104"/>
      <c r="F1076" s="193"/>
      <c r="G1076" s="104"/>
      <c r="H1076" s="104"/>
      <c r="I1076" s="104"/>
      <c r="J1076" s="104"/>
      <c r="K1076" s="104"/>
      <c r="L1076" s="104"/>
      <c r="M1076" s="104"/>
      <c r="N1076" s="104"/>
      <c r="O1076" s="104"/>
      <c r="P1076" s="104"/>
      <c r="Q1076" s="104"/>
      <c r="R1076" s="104"/>
      <c r="S1076" s="104"/>
      <c r="T1076" s="104"/>
      <c r="U1076" s="104"/>
      <c r="V1076" s="104"/>
      <c r="W1076" s="104"/>
      <c r="X1076" s="104"/>
      <c r="Y1076" s="104"/>
      <c r="Z1076" s="104"/>
      <c r="AA1076" s="104"/>
      <c r="AB1076" s="104"/>
      <c r="AC1076" s="104"/>
      <c r="AD1076" s="104"/>
    </row>
    <row r="1077" spans="1:30" ht="12.75">
      <c r="A1077" s="104"/>
      <c r="B1077" s="104"/>
      <c r="C1077" s="104"/>
      <c r="D1077" s="104"/>
      <c r="E1077" s="104"/>
      <c r="F1077" s="193"/>
      <c r="G1077" s="104"/>
      <c r="H1077" s="104"/>
      <c r="I1077" s="104"/>
      <c r="J1077" s="104"/>
      <c r="K1077" s="104"/>
      <c r="L1077" s="104"/>
      <c r="M1077" s="104"/>
      <c r="N1077" s="104"/>
      <c r="O1077" s="104"/>
      <c r="P1077" s="104"/>
      <c r="Q1077" s="104"/>
      <c r="R1077" s="104"/>
      <c r="S1077" s="104"/>
      <c r="T1077" s="104"/>
      <c r="U1077" s="104"/>
      <c r="V1077" s="104"/>
      <c r="W1077" s="104"/>
      <c r="X1077" s="104"/>
      <c r="Y1077" s="104"/>
      <c r="Z1077" s="104"/>
      <c r="AA1077" s="104"/>
      <c r="AB1077" s="104"/>
      <c r="AC1077" s="104"/>
      <c r="AD1077" s="104"/>
    </row>
    <row r="1078" spans="1:30" ht="12.75">
      <c r="A1078" s="104"/>
      <c r="B1078" s="104"/>
      <c r="C1078" s="104"/>
      <c r="D1078" s="104"/>
      <c r="E1078" s="104"/>
      <c r="F1078" s="193"/>
      <c r="G1078" s="104"/>
      <c r="H1078" s="104"/>
      <c r="I1078" s="104"/>
      <c r="J1078" s="104"/>
      <c r="K1078" s="104"/>
      <c r="L1078" s="104"/>
      <c r="M1078" s="104"/>
      <c r="N1078" s="104"/>
      <c r="O1078" s="104"/>
      <c r="P1078" s="104"/>
      <c r="Q1078" s="104"/>
      <c r="R1078" s="104"/>
      <c r="S1078" s="104"/>
      <c r="T1078" s="104"/>
      <c r="U1078" s="104"/>
      <c r="V1078" s="104"/>
      <c r="W1078" s="104"/>
      <c r="X1078" s="104"/>
      <c r="Y1078" s="104"/>
      <c r="Z1078" s="104"/>
      <c r="AA1078" s="104"/>
      <c r="AB1078" s="104"/>
      <c r="AC1078" s="104"/>
      <c r="AD1078" s="104"/>
    </row>
    <row r="1079" spans="1:30" ht="12.75">
      <c r="A1079" s="104"/>
      <c r="B1079" s="104"/>
      <c r="C1079" s="104"/>
      <c r="D1079" s="104"/>
      <c r="E1079" s="104"/>
      <c r="F1079" s="193"/>
      <c r="G1079" s="104"/>
      <c r="H1079" s="104"/>
      <c r="I1079" s="104"/>
      <c r="J1079" s="104"/>
      <c r="K1079" s="104"/>
      <c r="L1079" s="104"/>
      <c r="M1079" s="104"/>
      <c r="N1079" s="104"/>
      <c r="O1079" s="104"/>
      <c r="P1079" s="104"/>
      <c r="Q1079" s="104"/>
      <c r="R1079" s="104"/>
      <c r="S1079" s="104"/>
      <c r="T1079" s="104"/>
      <c r="U1079" s="104"/>
      <c r="V1079" s="104"/>
      <c r="W1079" s="104"/>
      <c r="X1079" s="104"/>
      <c r="Y1079" s="104"/>
      <c r="Z1079" s="104"/>
      <c r="AA1079" s="104"/>
      <c r="AB1079" s="104"/>
      <c r="AC1079" s="104"/>
      <c r="AD1079" s="104"/>
    </row>
    <row r="1080" spans="1:30" ht="12.75">
      <c r="A1080" s="104"/>
      <c r="B1080" s="104"/>
      <c r="C1080" s="104"/>
      <c r="D1080" s="104"/>
      <c r="E1080" s="104"/>
      <c r="F1080" s="193"/>
      <c r="G1080" s="104"/>
      <c r="H1080" s="104"/>
      <c r="I1080" s="104"/>
      <c r="J1080" s="104"/>
      <c r="K1080" s="104"/>
      <c r="L1080" s="104"/>
      <c r="M1080" s="104"/>
      <c r="N1080" s="104"/>
      <c r="O1080" s="104"/>
      <c r="P1080" s="104"/>
      <c r="Q1080" s="104"/>
      <c r="R1080" s="104"/>
      <c r="S1080" s="104"/>
      <c r="T1080" s="104"/>
      <c r="U1080" s="104"/>
      <c r="V1080" s="104"/>
      <c r="W1080" s="104"/>
      <c r="X1080" s="104"/>
      <c r="Y1080" s="104"/>
      <c r="Z1080" s="104"/>
      <c r="AA1080" s="104"/>
      <c r="AB1080" s="104"/>
      <c r="AC1080" s="104"/>
      <c r="AD1080" s="104"/>
    </row>
    <row r="1081" spans="1:30" ht="12.75">
      <c r="A1081" s="104"/>
      <c r="B1081" s="104"/>
      <c r="C1081" s="104"/>
      <c r="D1081" s="104"/>
      <c r="E1081" s="104"/>
      <c r="F1081" s="193"/>
      <c r="G1081" s="104"/>
      <c r="H1081" s="104"/>
      <c r="I1081" s="104"/>
      <c r="J1081" s="104"/>
      <c r="K1081" s="104"/>
      <c r="L1081" s="104"/>
      <c r="M1081" s="104"/>
      <c r="N1081" s="104"/>
      <c r="O1081" s="104"/>
      <c r="P1081" s="104"/>
      <c r="Q1081" s="104"/>
      <c r="R1081" s="104"/>
      <c r="S1081" s="104"/>
      <c r="T1081" s="104"/>
      <c r="U1081" s="104"/>
      <c r="V1081" s="104"/>
      <c r="W1081" s="104"/>
      <c r="X1081" s="104"/>
      <c r="Y1081" s="104"/>
      <c r="Z1081" s="104"/>
      <c r="AA1081" s="104"/>
      <c r="AB1081" s="104"/>
      <c r="AC1081" s="104"/>
      <c r="AD1081" s="104"/>
    </row>
    <row r="1082" spans="1:30" ht="12.75">
      <c r="A1082" s="104"/>
      <c r="B1082" s="104"/>
      <c r="C1082" s="104"/>
      <c r="D1082" s="104"/>
      <c r="E1082" s="104"/>
      <c r="F1082" s="193"/>
      <c r="G1082" s="104"/>
      <c r="H1082" s="104"/>
      <c r="I1082" s="104"/>
      <c r="J1082" s="104"/>
      <c r="K1082" s="104"/>
      <c r="L1082" s="104"/>
      <c r="M1082" s="104"/>
      <c r="N1082" s="104"/>
      <c r="O1082" s="104"/>
      <c r="P1082" s="104"/>
      <c r="Q1082" s="104"/>
      <c r="R1082" s="104"/>
      <c r="S1082" s="104"/>
      <c r="T1082" s="104"/>
      <c r="U1082" s="104"/>
      <c r="V1082" s="104"/>
      <c r="W1082" s="104"/>
      <c r="X1082" s="104"/>
      <c r="Y1082" s="104"/>
      <c r="Z1082" s="104"/>
      <c r="AA1082" s="104"/>
      <c r="AB1082" s="104"/>
      <c r="AC1082" s="104"/>
      <c r="AD1082" s="104"/>
    </row>
    <row r="1083" spans="1:30" ht="12.75">
      <c r="A1083" s="104"/>
      <c r="B1083" s="104"/>
      <c r="C1083" s="104"/>
      <c r="D1083" s="104"/>
      <c r="E1083" s="104"/>
      <c r="F1083" s="193"/>
      <c r="G1083" s="104"/>
      <c r="H1083" s="104"/>
      <c r="I1083" s="104"/>
      <c r="J1083" s="104"/>
      <c r="K1083" s="104"/>
      <c r="L1083" s="104"/>
      <c r="M1083" s="104"/>
      <c r="N1083" s="104"/>
      <c r="O1083" s="104"/>
      <c r="P1083" s="104"/>
      <c r="Q1083" s="104"/>
      <c r="R1083" s="104"/>
      <c r="S1083" s="104"/>
      <c r="T1083" s="104"/>
      <c r="U1083" s="104"/>
      <c r="V1083" s="104"/>
      <c r="W1083" s="104"/>
      <c r="X1083" s="104"/>
      <c r="Y1083" s="104"/>
      <c r="Z1083" s="104"/>
      <c r="AA1083" s="104"/>
      <c r="AB1083" s="104"/>
      <c r="AC1083" s="104"/>
      <c r="AD1083" s="104"/>
    </row>
    <row r="1084" spans="1:30" ht="12.75">
      <c r="A1084" s="104"/>
      <c r="B1084" s="104"/>
      <c r="C1084" s="104"/>
      <c r="D1084" s="104"/>
      <c r="E1084" s="104"/>
      <c r="F1084" s="193"/>
      <c r="G1084" s="104"/>
      <c r="H1084" s="104"/>
      <c r="I1084" s="104"/>
      <c r="J1084" s="104"/>
      <c r="K1084" s="104"/>
      <c r="L1084" s="104"/>
      <c r="M1084" s="104"/>
      <c r="N1084" s="104"/>
      <c r="O1084" s="104"/>
      <c r="P1084" s="104"/>
      <c r="Q1084" s="104"/>
      <c r="R1084" s="104"/>
      <c r="S1084" s="104"/>
      <c r="T1084" s="104"/>
      <c r="U1084" s="104"/>
      <c r="V1084" s="104"/>
      <c r="W1084" s="104"/>
      <c r="X1084" s="104"/>
      <c r="Y1084" s="104"/>
      <c r="Z1084" s="104"/>
      <c r="AA1084" s="104"/>
      <c r="AB1084" s="104"/>
      <c r="AC1084" s="104"/>
      <c r="AD1084" s="104"/>
    </row>
    <row r="1085" spans="1:30" ht="12.75">
      <c r="A1085" s="104"/>
      <c r="B1085" s="104"/>
      <c r="C1085" s="104"/>
      <c r="D1085" s="104"/>
      <c r="E1085" s="104"/>
      <c r="F1085" s="193"/>
      <c r="G1085" s="104"/>
      <c r="H1085" s="104"/>
      <c r="I1085" s="104"/>
      <c r="J1085" s="104"/>
      <c r="K1085" s="104"/>
      <c r="L1085" s="104"/>
      <c r="M1085" s="104"/>
      <c r="N1085" s="104"/>
      <c r="O1085" s="104"/>
      <c r="P1085" s="104"/>
      <c r="Q1085" s="104"/>
      <c r="R1085" s="104"/>
      <c r="S1085" s="104"/>
      <c r="T1085" s="104"/>
      <c r="U1085" s="104"/>
      <c r="V1085" s="104"/>
      <c r="W1085" s="104"/>
      <c r="X1085" s="104"/>
      <c r="Y1085" s="104"/>
      <c r="Z1085" s="104"/>
      <c r="AA1085" s="104"/>
      <c r="AB1085" s="104"/>
      <c r="AC1085" s="104"/>
      <c r="AD1085" s="104"/>
    </row>
    <row r="1086" spans="1:30" ht="12.75">
      <c r="A1086" s="104"/>
      <c r="B1086" s="104"/>
      <c r="C1086" s="104"/>
      <c r="D1086" s="104"/>
      <c r="E1086" s="104"/>
      <c r="F1086" s="193"/>
      <c r="G1086" s="104"/>
      <c r="H1086" s="104"/>
      <c r="I1086" s="104"/>
      <c r="J1086" s="104"/>
      <c r="K1086" s="104"/>
      <c r="L1086" s="104"/>
      <c r="M1086" s="104"/>
      <c r="N1086" s="104"/>
      <c r="O1086" s="104"/>
      <c r="P1086" s="104"/>
      <c r="Q1086" s="104"/>
      <c r="R1086" s="104"/>
      <c r="S1086" s="104"/>
      <c r="T1086" s="104"/>
      <c r="U1086" s="104"/>
      <c r="V1086" s="104"/>
      <c r="W1086" s="104"/>
      <c r="X1086" s="104"/>
      <c r="Y1086" s="104"/>
      <c r="Z1086" s="104"/>
      <c r="AA1086" s="104"/>
      <c r="AB1086" s="104"/>
      <c r="AC1086" s="104"/>
      <c r="AD1086" s="104"/>
    </row>
    <row r="1087" spans="1:30" ht="12.75">
      <c r="A1087" s="104"/>
      <c r="B1087" s="104"/>
      <c r="C1087" s="104"/>
      <c r="D1087" s="104"/>
      <c r="E1087" s="104"/>
      <c r="F1087" s="193"/>
      <c r="G1087" s="104"/>
      <c r="H1087" s="104"/>
      <c r="I1087" s="104"/>
      <c r="J1087" s="104"/>
      <c r="K1087" s="104"/>
      <c r="L1087" s="104"/>
      <c r="M1087" s="104"/>
      <c r="N1087" s="104"/>
      <c r="O1087" s="104"/>
      <c r="P1087" s="104"/>
      <c r="Q1087" s="104"/>
      <c r="R1087" s="104"/>
      <c r="S1087" s="104"/>
      <c r="T1087" s="104"/>
      <c r="U1087" s="104"/>
      <c r="V1087" s="104"/>
      <c r="W1087" s="104"/>
      <c r="X1087" s="104"/>
      <c r="Y1087" s="104"/>
      <c r="Z1087" s="104"/>
      <c r="AA1087" s="104"/>
      <c r="AB1087" s="104"/>
      <c r="AC1087" s="104"/>
      <c r="AD1087" s="104"/>
    </row>
    <row r="1088" spans="1:30" ht="12.75">
      <c r="A1088" s="104"/>
      <c r="B1088" s="104"/>
      <c r="C1088" s="104"/>
      <c r="D1088" s="104"/>
      <c r="E1088" s="104"/>
      <c r="F1088" s="193"/>
      <c r="G1088" s="104"/>
      <c r="H1088" s="104"/>
      <c r="I1088" s="104"/>
      <c r="J1088" s="104"/>
      <c r="K1088" s="104"/>
      <c r="L1088" s="104"/>
      <c r="M1088" s="104"/>
      <c r="N1088" s="104"/>
      <c r="O1088" s="104"/>
      <c r="P1088" s="104"/>
      <c r="Q1088" s="104"/>
      <c r="R1088" s="104"/>
      <c r="S1088" s="104"/>
      <c r="T1088" s="104"/>
      <c r="U1088" s="104"/>
      <c r="V1088" s="104"/>
      <c r="W1088" s="104"/>
      <c r="X1088" s="104"/>
      <c r="Y1088" s="104"/>
      <c r="Z1088" s="104"/>
      <c r="AA1088" s="104"/>
      <c r="AB1088" s="104"/>
      <c r="AC1088" s="104"/>
      <c r="AD1088" s="104"/>
    </row>
    <row r="1089" spans="1:30" ht="12.75">
      <c r="A1089" s="104"/>
      <c r="B1089" s="104"/>
      <c r="C1089" s="104"/>
      <c r="D1089" s="104"/>
      <c r="E1089" s="104"/>
      <c r="F1089" s="193"/>
      <c r="G1089" s="104"/>
      <c r="H1089" s="104"/>
      <c r="I1089" s="104"/>
      <c r="J1089" s="104"/>
      <c r="K1089" s="104"/>
      <c r="L1089" s="104"/>
      <c r="M1089" s="104"/>
      <c r="N1089" s="104"/>
      <c r="O1089" s="104"/>
      <c r="P1089" s="104"/>
      <c r="Q1089" s="104"/>
      <c r="R1089" s="104"/>
      <c r="S1089" s="104"/>
      <c r="T1089" s="104"/>
      <c r="U1089" s="104"/>
      <c r="V1089" s="104"/>
      <c r="W1089" s="104"/>
      <c r="X1089" s="104"/>
      <c r="Y1089" s="104"/>
      <c r="Z1089" s="104"/>
      <c r="AA1089" s="104"/>
      <c r="AB1089" s="104"/>
      <c r="AC1089" s="104"/>
      <c r="AD1089" s="104"/>
    </row>
    <row r="1090" spans="1:30" ht="12.75">
      <c r="A1090" s="104"/>
      <c r="B1090" s="104"/>
      <c r="C1090" s="104"/>
      <c r="D1090" s="104"/>
      <c r="E1090" s="104"/>
      <c r="F1090" s="193"/>
      <c r="G1090" s="104"/>
      <c r="H1090" s="104"/>
      <c r="I1090" s="104"/>
      <c r="J1090" s="104"/>
      <c r="K1090" s="104"/>
      <c r="L1090" s="104"/>
      <c r="M1090" s="104"/>
      <c r="N1090" s="104"/>
      <c r="O1090" s="104"/>
      <c r="P1090" s="104"/>
      <c r="Q1090" s="104"/>
      <c r="R1090" s="104"/>
      <c r="S1090" s="104"/>
      <c r="T1090" s="104"/>
      <c r="U1090" s="104"/>
      <c r="V1090" s="104"/>
      <c r="W1090" s="104"/>
      <c r="X1090" s="104"/>
      <c r="Y1090" s="104"/>
      <c r="Z1090" s="104"/>
      <c r="AA1090" s="104"/>
      <c r="AB1090" s="104"/>
      <c r="AC1090" s="104"/>
      <c r="AD1090" s="104"/>
    </row>
    <row r="1091" spans="1:30" ht="12.75">
      <c r="A1091" s="104"/>
      <c r="B1091" s="104"/>
      <c r="C1091" s="104"/>
      <c r="D1091" s="104"/>
      <c r="E1091" s="104"/>
      <c r="F1091" s="193"/>
      <c r="G1091" s="104"/>
      <c r="H1091" s="104"/>
      <c r="I1091" s="104"/>
      <c r="J1091" s="104"/>
      <c r="K1091" s="104"/>
      <c r="L1091" s="104"/>
      <c r="M1091" s="104"/>
      <c r="N1091" s="104"/>
      <c r="O1091" s="104"/>
      <c r="P1091" s="104"/>
      <c r="Q1091" s="104"/>
      <c r="R1091" s="104"/>
      <c r="S1091" s="104"/>
      <c r="T1091" s="104"/>
      <c r="U1091" s="104"/>
      <c r="V1091" s="104"/>
      <c r="W1091" s="104"/>
      <c r="X1091" s="104"/>
      <c r="Y1091" s="104"/>
      <c r="Z1091" s="104"/>
      <c r="AA1091" s="104"/>
      <c r="AB1091" s="104"/>
      <c r="AC1091" s="104"/>
      <c r="AD1091" s="104"/>
    </row>
    <row r="1092" spans="1:30" ht="12.75">
      <c r="A1092" s="104"/>
      <c r="B1092" s="104"/>
      <c r="C1092" s="104"/>
      <c r="D1092" s="104"/>
      <c r="E1092" s="104"/>
      <c r="F1092" s="193"/>
      <c r="G1092" s="104"/>
      <c r="H1092" s="104"/>
      <c r="I1092" s="104"/>
      <c r="J1092" s="104"/>
      <c r="K1092" s="104"/>
      <c r="L1092" s="104"/>
      <c r="M1092" s="104"/>
      <c r="N1092" s="104"/>
      <c r="O1092" s="104"/>
      <c r="P1092" s="104"/>
      <c r="Q1092" s="104"/>
      <c r="R1092" s="104"/>
      <c r="S1092" s="104"/>
      <c r="T1092" s="104"/>
      <c r="U1092" s="104"/>
      <c r="V1092" s="104"/>
      <c r="W1092" s="104"/>
      <c r="X1092" s="104"/>
      <c r="Y1092" s="104"/>
      <c r="Z1092" s="104"/>
      <c r="AA1092" s="104"/>
      <c r="AB1092" s="104"/>
      <c r="AC1092" s="104"/>
      <c r="AD1092" s="104"/>
    </row>
    <row r="1093" spans="1:30" ht="12.75">
      <c r="A1093" s="104"/>
      <c r="B1093" s="104"/>
      <c r="C1093" s="104"/>
      <c r="D1093" s="104"/>
      <c r="E1093" s="104"/>
      <c r="F1093" s="193"/>
      <c r="G1093" s="104"/>
      <c r="H1093" s="104"/>
      <c r="I1093" s="104"/>
      <c r="J1093" s="104"/>
      <c r="K1093" s="104"/>
      <c r="L1093" s="104"/>
      <c r="M1093" s="104"/>
      <c r="N1093" s="104"/>
      <c r="O1093" s="104"/>
      <c r="P1093" s="104"/>
      <c r="Q1093" s="104"/>
      <c r="R1093" s="104"/>
      <c r="S1093" s="104"/>
      <c r="T1093" s="104"/>
      <c r="U1093" s="104"/>
      <c r="V1093" s="104"/>
      <c r="W1093" s="104"/>
      <c r="X1093" s="104"/>
      <c r="Y1093" s="104"/>
      <c r="Z1093" s="104"/>
      <c r="AA1093" s="104"/>
      <c r="AB1093" s="104"/>
      <c r="AC1093" s="104"/>
      <c r="AD1093" s="104"/>
    </row>
    <row r="1094" spans="1:30" ht="12.75">
      <c r="A1094" s="104"/>
      <c r="B1094" s="104"/>
      <c r="C1094" s="104"/>
      <c r="D1094" s="104"/>
      <c r="E1094" s="104"/>
      <c r="F1094" s="193"/>
      <c r="G1094" s="104"/>
      <c r="H1094" s="104"/>
      <c r="I1094" s="104"/>
      <c r="J1094" s="104"/>
      <c r="K1094" s="104"/>
      <c r="L1094" s="104"/>
      <c r="M1094" s="104"/>
      <c r="N1094" s="104"/>
      <c r="O1094" s="104"/>
      <c r="P1094" s="104"/>
      <c r="Q1094" s="104"/>
      <c r="R1094" s="104"/>
      <c r="S1094" s="104"/>
      <c r="T1094" s="104"/>
      <c r="U1094" s="104"/>
      <c r="V1094" s="104"/>
      <c r="W1094" s="104"/>
      <c r="X1094" s="104"/>
      <c r="Y1094" s="104"/>
      <c r="Z1094" s="104"/>
      <c r="AA1094" s="104"/>
      <c r="AB1094" s="104"/>
      <c r="AC1094" s="104"/>
      <c r="AD1094" s="104"/>
    </row>
    <row r="1095" spans="1:30" ht="12.75">
      <c r="A1095" s="104"/>
      <c r="B1095" s="104"/>
      <c r="C1095" s="104"/>
      <c r="D1095" s="104"/>
      <c r="E1095" s="104"/>
      <c r="F1095" s="193"/>
      <c r="G1095" s="104"/>
      <c r="H1095" s="104"/>
      <c r="I1095" s="104"/>
      <c r="J1095" s="104"/>
      <c r="K1095" s="104"/>
      <c r="L1095" s="104"/>
      <c r="M1095" s="104"/>
      <c r="N1095" s="104"/>
      <c r="O1095" s="104"/>
      <c r="P1095" s="104"/>
      <c r="Q1095" s="104"/>
      <c r="R1095" s="104"/>
      <c r="S1095" s="104"/>
      <c r="T1095" s="104"/>
      <c r="U1095" s="104"/>
      <c r="V1095" s="104"/>
      <c r="W1095" s="104"/>
      <c r="X1095" s="104"/>
      <c r="Y1095" s="104"/>
      <c r="Z1095" s="104"/>
      <c r="AA1095" s="104"/>
      <c r="AB1095" s="104"/>
      <c r="AC1095" s="104"/>
      <c r="AD1095" s="104"/>
    </row>
    <row r="1096" spans="1:30" ht="12.75">
      <c r="A1096" s="104"/>
      <c r="B1096" s="104"/>
      <c r="C1096" s="104"/>
      <c r="D1096" s="104"/>
      <c r="E1096" s="104"/>
      <c r="F1096" s="193"/>
      <c r="G1096" s="104"/>
      <c r="H1096" s="104"/>
      <c r="I1096" s="104"/>
      <c r="J1096" s="104"/>
      <c r="K1096" s="104"/>
      <c r="L1096" s="104"/>
      <c r="M1096" s="104"/>
      <c r="N1096" s="104"/>
      <c r="O1096" s="104"/>
      <c r="P1096" s="104"/>
      <c r="Q1096" s="104"/>
      <c r="R1096" s="104"/>
      <c r="S1096" s="104"/>
      <c r="T1096" s="104"/>
      <c r="U1096" s="104"/>
      <c r="V1096" s="104"/>
      <c r="W1096" s="104"/>
      <c r="X1096" s="104"/>
      <c r="Y1096" s="104"/>
      <c r="Z1096" s="104"/>
      <c r="AA1096" s="104"/>
      <c r="AB1096" s="104"/>
      <c r="AC1096" s="104"/>
      <c r="AD1096" s="104"/>
    </row>
    <row r="1097" spans="1:30" ht="12.75">
      <c r="A1097" s="104"/>
      <c r="B1097" s="104"/>
      <c r="C1097" s="104"/>
      <c r="D1097" s="104"/>
      <c r="E1097" s="104"/>
      <c r="F1097" s="193"/>
      <c r="G1097" s="104"/>
      <c r="H1097" s="104"/>
      <c r="I1097" s="104"/>
      <c r="J1097" s="104"/>
      <c r="K1097" s="104"/>
      <c r="L1097" s="104"/>
      <c r="M1097" s="104"/>
      <c r="N1097" s="104"/>
      <c r="O1097" s="104"/>
      <c r="P1097" s="104"/>
      <c r="Q1097" s="104"/>
      <c r="R1097" s="104"/>
      <c r="S1097" s="104"/>
      <c r="T1097" s="104"/>
      <c r="U1097" s="104"/>
      <c r="V1097" s="104"/>
      <c r="W1097" s="104"/>
      <c r="X1097" s="104"/>
      <c r="Y1097" s="104"/>
      <c r="Z1097" s="104"/>
      <c r="AA1097" s="104"/>
      <c r="AB1097" s="104"/>
      <c r="AC1097" s="104"/>
      <c r="AD1097" s="104"/>
    </row>
    <row r="1098" spans="1:30" ht="12.75">
      <c r="A1098" s="104"/>
      <c r="B1098" s="104"/>
      <c r="C1098" s="104"/>
      <c r="D1098" s="104"/>
      <c r="E1098" s="104"/>
      <c r="F1098" s="193"/>
      <c r="G1098" s="104"/>
      <c r="H1098" s="104"/>
      <c r="I1098" s="104"/>
      <c r="J1098" s="104"/>
      <c r="K1098" s="104"/>
      <c r="L1098" s="104"/>
      <c r="M1098" s="104"/>
      <c r="N1098" s="104"/>
      <c r="O1098" s="104"/>
      <c r="P1098" s="104"/>
      <c r="Q1098" s="104"/>
      <c r="R1098" s="104"/>
      <c r="S1098" s="104"/>
      <c r="T1098" s="104"/>
      <c r="U1098" s="104"/>
      <c r="V1098" s="104"/>
      <c r="W1098" s="104"/>
      <c r="X1098" s="104"/>
      <c r="Y1098" s="104"/>
      <c r="Z1098" s="104"/>
      <c r="AA1098" s="104"/>
      <c r="AB1098" s="104"/>
      <c r="AC1098" s="104"/>
      <c r="AD1098" s="104"/>
    </row>
    <row r="1099" spans="1:30" ht="12.75">
      <c r="A1099" s="104"/>
      <c r="B1099" s="104"/>
      <c r="C1099" s="104"/>
      <c r="D1099" s="104"/>
      <c r="E1099" s="104"/>
      <c r="F1099" s="193"/>
      <c r="G1099" s="104"/>
      <c r="H1099" s="104"/>
      <c r="I1099" s="104"/>
      <c r="J1099" s="104"/>
      <c r="K1099" s="104"/>
      <c r="L1099" s="104"/>
      <c r="M1099" s="104"/>
      <c r="N1099" s="104"/>
      <c r="O1099" s="104"/>
      <c r="P1099" s="104"/>
      <c r="Q1099" s="104"/>
      <c r="R1099" s="104"/>
      <c r="S1099" s="104"/>
      <c r="T1099" s="104"/>
      <c r="U1099" s="104"/>
      <c r="V1099" s="104"/>
      <c r="W1099" s="104"/>
      <c r="X1099" s="104"/>
      <c r="Y1099" s="104"/>
      <c r="Z1099" s="104"/>
      <c r="AA1099" s="104"/>
      <c r="AB1099" s="104"/>
      <c r="AC1099" s="104"/>
      <c r="AD1099" s="104"/>
    </row>
    <row r="1100" spans="1:30" ht="12.75">
      <c r="A1100" s="104"/>
      <c r="B1100" s="104"/>
      <c r="C1100" s="104"/>
      <c r="D1100" s="104"/>
      <c r="E1100" s="104"/>
      <c r="F1100" s="193"/>
      <c r="G1100" s="104"/>
      <c r="H1100" s="104"/>
      <c r="I1100" s="104"/>
      <c r="J1100" s="104"/>
      <c r="K1100" s="104"/>
      <c r="L1100" s="104"/>
      <c r="M1100" s="104"/>
      <c r="N1100" s="104"/>
      <c r="O1100" s="104"/>
      <c r="P1100" s="104"/>
      <c r="Q1100" s="104"/>
      <c r="R1100" s="104"/>
      <c r="S1100" s="104"/>
      <c r="T1100" s="104"/>
      <c r="U1100" s="104"/>
      <c r="V1100" s="104"/>
      <c r="W1100" s="104"/>
      <c r="X1100" s="104"/>
      <c r="Y1100" s="104"/>
      <c r="Z1100" s="104"/>
      <c r="AA1100" s="104"/>
      <c r="AB1100" s="104"/>
      <c r="AC1100" s="104"/>
      <c r="AD1100" s="104"/>
    </row>
    <row r="1101" spans="1:30" ht="12.75">
      <c r="A1101" s="104"/>
      <c r="B1101" s="104"/>
      <c r="C1101" s="104"/>
      <c r="D1101" s="104"/>
      <c r="E1101" s="104"/>
      <c r="F1101" s="193"/>
      <c r="G1101" s="104"/>
      <c r="H1101" s="104"/>
      <c r="I1101" s="104"/>
      <c r="J1101" s="104"/>
      <c r="K1101" s="104"/>
      <c r="L1101" s="104"/>
      <c r="M1101" s="104"/>
      <c r="N1101" s="104"/>
      <c r="O1101" s="104"/>
      <c r="P1101" s="104"/>
      <c r="Q1101" s="104"/>
      <c r="R1101" s="104"/>
      <c r="S1101" s="104"/>
      <c r="T1101" s="104"/>
      <c r="U1101" s="104"/>
      <c r="V1101" s="104"/>
      <c r="W1101" s="104"/>
      <c r="X1101" s="104"/>
      <c r="Y1101" s="104"/>
      <c r="Z1101" s="104"/>
      <c r="AA1101" s="104"/>
      <c r="AB1101" s="104"/>
      <c r="AC1101" s="104"/>
      <c r="AD1101" s="104"/>
    </row>
    <row r="1102" spans="1:30" ht="12.75">
      <c r="A1102" s="104"/>
      <c r="B1102" s="104"/>
      <c r="C1102" s="104"/>
      <c r="D1102" s="104"/>
      <c r="E1102" s="104"/>
      <c r="F1102" s="193"/>
      <c r="G1102" s="104"/>
      <c r="H1102" s="104"/>
      <c r="I1102" s="104"/>
      <c r="J1102" s="104"/>
      <c r="K1102" s="104"/>
      <c r="L1102" s="104"/>
      <c r="M1102" s="104"/>
      <c r="N1102" s="104"/>
      <c r="O1102" s="104"/>
      <c r="P1102" s="104"/>
      <c r="Q1102" s="104"/>
      <c r="R1102" s="104"/>
      <c r="S1102" s="104"/>
      <c r="T1102" s="104"/>
      <c r="U1102" s="104"/>
      <c r="V1102" s="104"/>
      <c r="W1102" s="104"/>
      <c r="X1102" s="104"/>
      <c r="Y1102" s="104"/>
      <c r="Z1102" s="104"/>
      <c r="AA1102" s="104"/>
      <c r="AB1102" s="104"/>
      <c r="AC1102" s="104"/>
      <c r="AD1102" s="104"/>
    </row>
    <row r="1103" spans="1:30" ht="12.75">
      <c r="A1103" s="104"/>
      <c r="B1103" s="104"/>
      <c r="C1103" s="104"/>
      <c r="D1103" s="104"/>
      <c r="E1103" s="104"/>
      <c r="F1103" s="193"/>
      <c r="G1103" s="104"/>
      <c r="H1103" s="104"/>
      <c r="I1103" s="104"/>
      <c r="J1103" s="104"/>
      <c r="K1103" s="104"/>
      <c r="L1103" s="104"/>
      <c r="M1103" s="104"/>
      <c r="N1103" s="104"/>
      <c r="O1103" s="104"/>
      <c r="P1103" s="104"/>
      <c r="Q1103" s="104"/>
      <c r="R1103" s="104"/>
      <c r="S1103" s="104"/>
      <c r="T1103" s="104"/>
      <c r="U1103" s="104"/>
      <c r="V1103" s="104"/>
      <c r="W1103" s="104"/>
      <c r="X1103" s="104"/>
      <c r="Y1103" s="104"/>
      <c r="Z1103" s="104"/>
      <c r="AA1103" s="104"/>
      <c r="AB1103" s="104"/>
      <c r="AC1103" s="104"/>
      <c r="AD1103" s="104"/>
    </row>
    <row r="1104" spans="1:30" ht="12.75">
      <c r="A1104" s="104"/>
      <c r="B1104" s="104"/>
      <c r="C1104" s="104"/>
      <c r="D1104" s="104"/>
      <c r="E1104" s="104"/>
      <c r="F1104" s="193"/>
      <c r="G1104" s="104"/>
      <c r="H1104" s="104"/>
      <c r="I1104" s="104"/>
      <c r="J1104" s="104"/>
      <c r="K1104" s="104"/>
      <c r="L1104" s="104"/>
      <c r="M1104" s="104"/>
      <c r="N1104" s="104"/>
      <c r="O1104" s="104"/>
      <c r="P1104" s="104"/>
      <c r="Q1104" s="104"/>
      <c r="R1104" s="104"/>
      <c r="S1104" s="104"/>
      <c r="T1104" s="104"/>
      <c r="U1104" s="104"/>
      <c r="V1104" s="104"/>
      <c r="W1104" s="104"/>
      <c r="X1104" s="104"/>
      <c r="Y1104" s="104"/>
      <c r="Z1104" s="104"/>
      <c r="AA1104" s="104"/>
      <c r="AB1104" s="104"/>
      <c r="AC1104" s="104"/>
      <c r="AD1104" s="104"/>
    </row>
    <row r="1105" spans="1:30" ht="12.75">
      <c r="A1105" s="104"/>
      <c r="B1105" s="104"/>
      <c r="C1105" s="104"/>
      <c r="D1105" s="104"/>
      <c r="E1105" s="104"/>
      <c r="F1105" s="193"/>
      <c r="G1105" s="104"/>
      <c r="H1105" s="104"/>
      <c r="I1105" s="104"/>
      <c r="J1105" s="104"/>
      <c r="K1105" s="104"/>
      <c r="L1105" s="104"/>
      <c r="M1105" s="104"/>
      <c r="N1105" s="104"/>
      <c r="O1105" s="104"/>
      <c r="P1105" s="104"/>
      <c r="Q1105" s="104"/>
      <c r="R1105" s="104"/>
      <c r="S1105" s="104"/>
      <c r="T1105" s="104"/>
      <c r="U1105" s="104"/>
      <c r="V1105" s="104"/>
      <c r="W1105" s="104"/>
      <c r="X1105" s="104"/>
      <c r="Y1105" s="104"/>
      <c r="Z1105" s="104"/>
      <c r="AA1105" s="104"/>
      <c r="AB1105" s="104"/>
      <c r="AC1105" s="104"/>
      <c r="AD1105" s="104"/>
    </row>
    <row r="1106" spans="1:30" ht="12.75">
      <c r="A1106" s="104"/>
      <c r="B1106" s="104"/>
      <c r="C1106" s="104"/>
      <c r="D1106" s="104"/>
      <c r="E1106" s="104"/>
      <c r="F1106" s="193"/>
      <c r="G1106" s="104"/>
      <c r="H1106" s="104"/>
      <c r="I1106" s="104"/>
      <c r="J1106" s="104"/>
      <c r="K1106" s="104"/>
      <c r="L1106" s="104"/>
      <c r="M1106" s="104"/>
      <c r="N1106" s="104"/>
      <c r="O1106" s="104"/>
      <c r="P1106" s="104"/>
      <c r="Q1106" s="104"/>
      <c r="R1106" s="104"/>
      <c r="S1106" s="104"/>
      <c r="T1106" s="104"/>
      <c r="U1106" s="104"/>
      <c r="V1106" s="104"/>
      <c r="W1106" s="104"/>
      <c r="X1106" s="104"/>
      <c r="Y1106" s="104"/>
      <c r="Z1106" s="104"/>
      <c r="AA1106" s="104"/>
      <c r="AB1106" s="104"/>
      <c r="AC1106" s="104"/>
      <c r="AD1106" s="104"/>
    </row>
    <row r="1107" spans="1:30" ht="12.75">
      <c r="A1107" s="104"/>
      <c r="B1107" s="104"/>
      <c r="C1107" s="104"/>
      <c r="D1107" s="104"/>
      <c r="E1107" s="104"/>
      <c r="F1107" s="193"/>
      <c r="G1107" s="104"/>
      <c r="H1107" s="104"/>
      <c r="I1107" s="104"/>
      <c r="J1107" s="104"/>
      <c r="K1107" s="104"/>
      <c r="L1107" s="104"/>
      <c r="M1107" s="104"/>
      <c r="N1107" s="104"/>
      <c r="O1107" s="104"/>
      <c r="P1107" s="104"/>
      <c r="Q1107" s="104"/>
      <c r="R1107" s="104"/>
      <c r="S1107" s="104"/>
      <c r="T1107" s="104"/>
      <c r="U1107" s="104"/>
      <c r="V1107" s="104"/>
      <c r="W1107" s="104"/>
      <c r="X1107" s="104"/>
      <c r="Y1107" s="104"/>
      <c r="Z1107" s="104"/>
      <c r="AA1107" s="104"/>
      <c r="AB1107" s="104"/>
      <c r="AC1107" s="104"/>
      <c r="AD1107" s="104"/>
    </row>
    <row r="1108" spans="1:30" ht="12.75">
      <c r="A1108" s="104"/>
      <c r="B1108" s="104"/>
      <c r="C1108" s="104"/>
      <c r="D1108" s="104"/>
      <c r="E1108" s="104"/>
      <c r="F1108" s="193"/>
      <c r="G1108" s="104"/>
      <c r="H1108" s="104"/>
      <c r="I1108" s="104"/>
      <c r="J1108" s="104"/>
      <c r="K1108" s="104"/>
      <c r="L1108" s="104"/>
      <c r="M1108" s="104"/>
      <c r="N1108" s="104"/>
      <c r="O1108" s="104"/>
      <c r="P1108" s="104"/>
      <c r="Q1108" s="104"/>
      <c r="R1108" s="104"/>
      <c r="S1108" s="104"/>
      <c r="T1108" s="104"/>
      <c r="U1108" s="104"/>
      <c r="V1108" s="104"/>
      <c r="W1108" s="104"/>
      <c r="X1108" s="104"/>
      <c r="Y1108" s="104"/>
      <c r="Z1108" s="104"/>
      <c r="AA1108" s="104"/>
      <c r="AB1108" s="104"/>
      <c r="AC1108" s="104"/>
      <c r="AD1108" s="104"/>
    </row>
    <row r="1109" spans="1:30" ht="12.75">
      <c r="A1109" s="104"/>
      <c r="B1109" s="104"/>
      <c r="C1109" s="104"/>
      <c r="D1109" s="104"/>
      <c r="E1109" s="104"/>
      <c r="F1109" s="193"/>
      <c r="G1109" s="104"/>
      <c r="H1109" s="104"/>
      <c r="I1109" s="104"/>
      <c r="J1109" s="104"/>
      <c r="K1109" s="104"/>
      <c r="L1109" s="104"/>
      <c r="M1109" s="104"/>
      <c r="N1109" s="104"/>
      <c r="O1109" s="104"/>
      <c r="P1109" s="104"/>
      <c r="Q1109" s="104"/>
      <c r="R1109" s="104"/>
      <c r="S1109" s="104"/>
      <c r="T1109" s="104"/>
      <c r="U1109" s="104"/>
      <c r="V1109" s="104"/>
      <c r="W1109" s="104"/>
      <c r="X1109" s="104"/>
      <c r="Y1109" s="104"/>
      <c r="Z1109" s="104"/>
      <c r="AA1109" s="104"/>
      <c r="AB1109" s="104"/>
      <c r="AC1109" s="104"/>
      <c r="AD1109" s="104"/>
    </row>
    <row r="1110" spans="1:30" ht="12.75">
      <c r="A1110" s="104"/>
      <c r="B1110" s="104"/>
      <c r="C1110" s="104"/>
      <c r="D1110" s="104"/>
      <c r="E1110" s="104"/>
      <c r="F1110" s="193"/>
      <c r="G1110" s="104"/>
      <c r="H1110" s="104"/>
      <c r="I1110" s="104"/>
      <c r="J1110" s="104"/>
      <c r="K1110" s="104"/>
      <c r="L1110" s="104"/>
      <c r="M1110" s="104"/>
      <c r="N1110" s="104"/>
      <c r="O1110" s="104"/>
      <c r="P1110" s="104"/>
      <c r="Q1110" s="104"/>
      <c r="R1110" s="104"/>
      <c r="S1110" s="104"/>
      <c r="T1110" s="104"/>
      <c r="U1110" s="104"/>
      <c r="V1110" s="104"/>
      <c r="W1110" s="104"/>
      <c r="X1110" s="104"/>
      <c r="Y1110" s="104"/>
      <c r="Z1110" s="104"/>
      <c r="AA1110" s="104"/>
      <c r="AB1110" s="104"/>
      <c r="AC1110" s="104"/>
      <c r="AD1110" s="104"/>
    </row>
    <row r="1111" spans="1:30" ht="12.75">
      <c r="A1111" s="104"/>
      <c r="B1111" s="104"/>
      <c r="C1111" s="104"/>
      <c r="D1111" s="104"/>
      <c r="E1111" s="104"/>
      <c r="F1111" s="193"/>
      <c r="G1111" s="104"/>
      <c r="H1111" s="104"/>
      <c r="I1111" s="104"/>
      <c r="J1111" s="104"/>
      <c r="K1111" s="104"/>
      <c r="L1111" s="104"/>
      <c r="M1111" s="104"/>
      <c r="N1111" s="104"/>
      <c r="O1111" s="104"/>
      <c r="P1111" s="104"/>
      <c r="Q1111" s="104"/>
      <c r="R1111" s="104"/>
      <c r="S1111" s="104"/>
      <c r="T1111" s="104"/>
      <c r="U1111" s="104"/>
      <c r="V1111" s="104"/>
      <c r="W1111" s="104"/>
      <c r="X1111" s="104"/>
      <c r="Y1111" s="104"/>
      <c r="Z1111" s="104"/>
      <c r="AA1111" s="104"/>
      <c r="AB1111" s="104"/>
      <c r="AC1111" s="104"/>
      <c r="AD1111" s="104"/>
    </row>
    <row r="1112" spans="1:30" ht="12.75">
      <c r="A1112" s="104"/>
      <c r="B1112" s="104"/>
      <c r="C1112" s="104"/>
      <c r="D1112" s="104"/>
      <c r="E1112" s="104"/>
      <c r="F1112" s="193"/>
      <c r="G1112" s="104"/>
      <c r="H1112" s="104"/>
      <c r="I1112" s="104"/>
      <c r="J1112" s="104"/>
      <c r="K1112" s="104"/>
      <c r="L1112" s="104"/>
      <c r="M1112" s="104"/>
      <c r="N1112" s="104"/>
      <c r="O1112" s="104"/>
      <c r="P1112" s="104"/>
      <c r="Q1112" s="104"/>
      <c r="R1112" s="104"/>
      <c r="S1112" s="104"/>
      <c r="T1112" s="104"/>
      <c r="U1112" s="104"/>
      <c r="V1112" s="104"/>
      <c r="W1112" s="104"/>
      <c r="X1112" s="104"/>
      <c r="Y1112" s="104"/>
      <c r="Z1112" s="104"/>
      <c r="AA1112" s="104"/>
      <c r="AB1112" s="104"/>
      <c r="AC1112" s="104"/>
      <c r="AD1112" s="104"/>
    </row>
    <row r="1113" spans="1:30" ht="12.75">
      <c r="A1113" s="104"/>
      <c r="B1113" s="104"/>
      <c r="C1113" s="104"/>
      <c r="D1113" s="104"/>
      <c r="E1113" s="104"/>
      <c r="F1113" s="193"/>
      <c r="G1113" s="104"/>
      <c r="H1113" s="104"/>
      <c r="I1113" s="104"/>
      <c r="J1113" s="104"/>
      <c r="K1113" s="104"/>
      <c r="L1113" s="104"/>
      <c r="M1113" s="104"/>
      <c r="N1113" s="104"/>
      <c r="O1113" s="104"/>
      <c r="P1113" s="104"/>
      <c r="Q1113" s="104"/>
      <c r="R1113" s="104"/>
      <c r="S1113" s="104"/>
      <c r="T1113" s="104"/>
      <c r="U1113" s="104"/>
      <c r="V1113" s="104"/>
      <c r="W1113" s="104"/>
      <c r="X1113" s="104"/>
      <c r="Y1113" s="104"/>
      <c r="Z1113" s="104"/>
      <c r="AA1113" s="104"/>
      <c r="AB1113" s="104"/>
      <c r="AC1113" s="104"/>
      <c r="AD1113" s="104"/>
    </row>
    <row r="1114" spans="1:30" ht="12.75">
      <c r="A1114" s="104"/>
      <c r="B1114" s="104"/>
      <c r="C1114" s="104"/>
      <c r="D1114" s="104"/>
      <c r="E1114" s="104"/>
      <c r="F1114" s="193"/>
      <c r="G1114" s="104"/>
      <c r="H1114" s="104"/>
      <c r="I1114" s="104"/>
      <c r="J1114" s="104"/>
      <c r="K1114" s="104"/>
      <c r="L1114" s="104"/>
      <c r="M1114" s="104"/>
      <c r="N1114" s="104"/>
      <c r="O1114" s="104"/>
      <c r="P1114" s="104"/>
      <c r="Q1114" s="104"/>
      <c r="R1114" s="104"/>
      <c r="S1114" s="104"/>
      <c r="T1114" s="104"/>
      <c r="U1114" s="104"/>
      <c r="V1114" s="104"/>
      <c r="W1114" s="104"/>
      <c r="X1114" s="104"/>
      <c r="Y1114" s="104"/>
      <c r="Z1114" s="104"/>
      <c r="AA1114" s="104"/>
      <c r="AB1114" s="104"/>
      <c r="AC1114" s="104"/>
      <c r="AD1114" s="104"/>
    </row>
    <row r="1115" spans="1:30" ht="12.75">
      <c r="A1115" s="104"/>
      <c r="B1115" s="104"/>
      <c r="C1115" s="104"/>
      <c r="D1115" s="104"/>
      <c r="E1115" s="104"/>
      <c r="F1115" s="193"/>
      <c r="G1115" s="104"/>
      <c r="H1115" s="104"/>
      <c r="I1115" s="104"/>
      <c r="J1115" s="104"/>
      <c r="K1115" s="104"/>
      <c r="L1115" s="104"/>
      <c r="M1115" s="104"/>
      <c r="N1115" s="104"/>
      <c r="O1115" s="104"/>
      <c r="P1115" s="104"/>
      <c r="Q1115" s="104"/>
      <c r="R1115" s="104"/>
      <c r="S1115" s="104"/>
      <c r="T1115" s="104"/>
      <c r="U1115" s="104"/>
      <c r="V1115" s="104"/>
      <c r="W1115" s="104"/>
      <c r="X1115" s="104"/>
      <c r="Y1115" s="104"/>
      <c r="Z1115" s="104"/>
      <c r="AA1115" s="104"/>
      <c r="AB1115" s="104"/>
      <c r="AC1115" s="104"/>
      <c r="AD1115" s="104"/>
    </row>
    <row r="1116" spans="1:30" ht="12.75">
      <c r="A1116" s="104"/>
      <c r="B1116" s="104"/>
      <c r="C1116" s="104"/>
      <c r="D1116" s="104"/>
      <c r="E1116" s="104"/>
      <c r="F1116" s="193"/>
      <c r="G1116" s="104"/>
      <c r="H1116" s="104"/>
      <c r="I1116" s="104"/>
      <c r="J1116" s="104"/>
      <c r="K1116" s="104"/>
      <c r="L1116" s="104"/>
      <c r="M1116" s="104"/>
      <c r="N1116" s="104"/>
      <c r="O1116" s="104"/>
      <c r="P1116" s="104"/>
      <c r="Q1116" s="104"/>
      <c r="R1116" s="104"/>
      <c r="S1116" s="104"/>
      <c r="T1116" s="104"/>
      <c r="U1116" s="104"/>
      <c r="V1116" s="104"/>
      <c r="W1116" s="104"/>
      <c r="X1116" s="104"/>
      <c r="Y1116" s="104"/>
      <c r="Z1116" s="104"/>
      <c r="AA1116" s="104"/>
      <c r="AB1116" s="104"/>
      <c r="AC1116" s="104"/>
      <c r="AD1116" s="104"/>
    </row>
    <row r="1117" spans="1:30" ht="12.75">
      <c r="A1117" s="104"/>
      <c r="B1117" s="104"/>
      <c r="C1117" s="104"/>
      <c r="D1117" s="104"/>
      <c r="E1117" s="104"/>
      <c r="F1117" s="193"/>
      <c r="G1117" s="104"/>
      <c r="H1117" s="104"/>
      <c r="I1117" s="104"/>
      <c r="J1117" s="104"/>
      <c r="K1117" s="104"/>
      <c r="L1117" s="104"/>
      <c r="M1117" s="104"/>
      <c r="N1117" s="104"/>
      <c r="O1117" s="104"/>
      <c r="P1117" s="104"/>
      <c r="Q1117" s="104"/>
      <c r="R1117" s="104"/>
      <c r="S1117" s="104"/>
      <c r="T1117" s="104"/>
      <c r="U1117" s="104"/>
      <c r="V1117" s="104"/>
      <c r="W1117" s="104"/>
      <c r="X1117" s="104"/>
      <c r="Y1117" s="104"/>
      <c r="Z1117" s="104"/>
      <c r="AA1117" s="104"/>
      <c r="AB1117" s="104"/>
      <c r="AC1117" s="104"/>
      <c r="AD1117" s="104"/>
    </row>
    <row r="1118" spans="1:30" ht="12.75">
      <c r="A1118" s="104"/>
      <c r="B1118" s="104"/>
      <c r="C1118" s="104"/>
      <c r="D1118" s="104"/>
      <c r="E1118" s="104"/>
      <c r="F1118" s="193"/>
      <c r="G1118" s="104"/>
      <c r="H1118" s="104"/>
      <c r="I1118" s="104"/>
      <c r="J1118" s="104"/>
      <c r="K1118" s="104"/>
      <c r="L1118" s="104"/>
      <c r="M1118" s="104"/>
      <c r="N1118" s="104"/>
      <c r="O1118" s="104"/>
      <c r="P1118" s="104"/>
      <c r="Q1118" s="104"/>
      <c r="R1118" s="104"/>
      <c r="S1118" s="104"/>
      <c r="T1118" s="104"/>
      <c r="U1118" s="104"/>
      <c r="V1118" s="104"/>
      <c r="W1118" s="104"/>
      <c r="X1118" s="104"/>
      <c r="Y1118" s="104"/>
      <c r="Z1118" s="104"/>
      <c r="AA1118" s="104"/>
      <c r="AB1118" s="104"/>
      <c r="AC1118" s="104"/>
      <c r="AD1118" s="104"/>
    </row>
    <row r="1119" spans="1:30" ht="12.75">
      <c r="A1119" s="104"/>
      <c r="B1119" s="104"/>
      <c r="C1119" s="104"/>
      <c r="D1119" s="104"/>
      <c r="E1119" s="104"/>
      <c r="F1119" s="193"/>
      <c r="G1119" s="104"/>
      <c r="H1119" s="104"/>
      <c r="I1119" s="104"/>
      <c r="J1119" s="104"/>
      <c r="K1119" s="104"/>
      <c r="L1119" s="104"/>
      <c r="M1119" s="104"/>
      <c r="N1119" s="104"/>
      <c r="O1119" s="104"/>
      <c r="P1119" s="104"/>
      <c r="Q1119" s="104"/>
      <c r="R1119" s="104"/>
      <c r="S1119" s="104"/>
      <c r="T1119" s="104"/>
      <c r="U1119" s="104"/>
      <c r="V1119" s="104"/>
      <c r="W1119" s="104"/>
      <c r="X1119" s="104"/>
      <c r="Y1119" s="104"/>
      <c r="Z1119" s="104"/>
      <c r="AA1119" s="104"/>
      <c r="AB1119" s="104"/>
      <c r="AC1119" s="104"/>
      <c r="AD1119" s="104"/>
    </row>
    <row r="1120" spans="1:30" ht="12.75">
      <c r="A1120" s="104"/>
      <c r="B1120" s="104"/>
      <c r="C1120" s="104"/>
      <c r="D1120" s="104"/>
      <c r="E1120" s="104"/>
      <c r="F1120" s="193"/>
      <c r="G1120" s="104"/>
      <c r="H1120" s="104"/>
      <c r="I1120" s="104"/>
      <c r="J1120" s="104"/>
      <c r="K1120" s="104"/>
      <c r="L1120" s="104"/>
      <c r="M1120" s="104"/>
      <c r="N1120" s="104"/>
      <c r="O1120" s="104"/>
      <c r="P1120" s="104"/>
      <c r="Q1120" s="104"/>
      <c r="R1120" s="104"/>
      <c r="S1120" s="104"/>
      <c r="T1120" s="104"/>
      <c r="U1120" s="104"/>
      <c r="V1120" s="104"/>
      <c r="W1120" s="104"/>
      <c r="X1120" s="104"/>
      <c r="Y1120" s="104"/>
      <c r="Z1120" s="104"/>
      <c r="AA1120" s="104"/>
      <c r="AB1120" s="104"/>
      <c r="AC1120" s="104"/>
      <c r="AD1120" s="104"/>
    </row>
    <row r="1121" spans="1:30" ht="12.75">
      <c r="A1121" s="104"/>
      <c r="B1121" s="104"/>
      <c r="C1121" s="104"/>
      <c r="D1121" s="104"/>
      <c r="E1121" s="104"/>
      <c r="F1121" s="193"/>
      <c r="G1121" s="104"/>
      <c r="H1121" s="104"/>
      <c r="I1121" s="104"/>
      <c r="J1121" s="104"/>
      <c r="K1121" s="104"/>
      <c r="L1121" s="104"/>
      <c r="M1121" s="104"/>
      <c r="N1121" s="104"/>
      <c r="O1121" s="104"/>
      <c r="P1121" s="104"/>
      <c r="Q1121" s="104"/>
      <c r="R1121" s="104"/>
      <c r="S1121" s="104"/>
      <c r="T1121" s="104"/>
      <c r="U1121" s="104"/>
      <c r="V1121" s="104"/>
      <c r="W1121" s="104"/>
      <c r="X1121" s="104"/>
      <c r="Y1121" s="104"/>
      <c r="Z1121" s="104"/>
      <c r="AA1121" s="104"/>
      <c r="AB1121" s="104"/>
      <c r="AC1121" s="104"/>
      <c r="AD1121" s="104"/>
    </row>
    <row r="1122" spans="1:30" ht="12.75">
      <c r="A1122" s="104"/>
      <c r="B1122" s="104"/>
      <c r="C1122" s="104"/>
      <c r="D1122" s="104"/>
      <c r="E1122" s="104"/>
      <c r="F1122" s="193"/>
      <c r="G1122" s="104"/>
      <c r="H1122" s="104"/>
      <c r="I1122" s="104"/>
      <c r="J1122" s="104"/>
      <c r="K1122" s="104"/>
      <c r="L1122" s="104"/>
      <c r="M1122" s="104"/>
      <c r="N1122" s="104"/>
      <c r="O1122" s="104"/>
      <c r="P1122" s="104"/>
      <c r="Q1122" s="104"/>
      <c r="R1122" s="104"/>
      <c r="S1122" s="104"/>
      <c r="T1122" s="104"/>
      <c r="U1122" s="104"/>
      <c r="V1122" s="104"/>
      <c r="W1122" s="104"/>
      <c r="X1122" s="104"/>
      <c r="Y1122" s="104"/>
      <c r="Z1122" s="104"/>
      <c r="AA1122" s="104"/>
      <c r="AB1122" s="104"/>
      <c r="AC1122" s="104"/>
      <c r="AD1122" s="104"/>
    </row>
    <row r="1123" spans="1:30" ht="12.75">
      <c r="A1123" s="104"/>
      <c r="B1123" s="104"/>
      <c r="C1123" s="104"/>
      <c r="D1123" s="104"/>
      <c r="E1123" s="104"/>
      <c r="F1123" s="193"/>
      <c r="G1123" s="104"/>
      <c r="H1123" s="104"/>
      <c r="I1123" s="104"/>
      <c r="J1123" s="104"/>
      <c r="K1123" s="104"/>
      <c r="L1123" s="104"/>
      <c r="M1123" s="104"/>
      <c r="N1123" s="104"/>
      <c r="O1123" s="104"/>
      <c r="P1123" s="104"/>
      <c r="Q1123" s="104"/>
      <c r="R1123" s="104"/>
      <c r="S1123" s="104"/>
      <c r="T1123" s="104"/>
      <c r="U1123" s="104"/>
      <c r="V1123" s="104"/>
      <c r="W1123" s="104"/>
      <c r="X1123" s="104"/>
      <c r="Y1123" s="104"/>
      <c r="Z1123" s="104"/>
      <c r="AA1123" s="104"/>
      <c r="AB1123" s="104"/>
      <c r="AC1123" s="104"/>
      <c r="AD1123" s="104"/>
    </row>
    <row r="1124" spans="1:30" ht="12.75">
      <c r="A1124" s="104"/>
      <c r="B1124" s="104"/>
      <c r="C1124" s="104"/>
      <c r="D1124" s="104"/>
      <c r="E1124" s="104"/>
      <c r="F1124" s="193"/>
      <c r="G1124" s="104"/>
      <c r="H1124" s="104"/>
      <c r="I1124" s="104"/>
      <c r="J1124" s="104"/>
      <c r="K1124" s="104"/>
      <c r="L1124" s="104"/>
      <c r="M1124" s="104"/>
      <c r="N1124" s="104"/>
      <c r="O1124" s="104"/>
      <c r="P1124" s="104"/>
      <c r="Q1124" s="104"/>
      <c r="R1124" s="104"/>
      <c r="S1124" s="104"/>
      <c r="T1124" s="104"/>
      <c r="U1124" s="104"/>
      <c r="V1124" s="104"/>
      <c r="W1124" s="104"/>
      <c r="X1124" s="104"/>
      <c r="Y1124" s="104"/>
      <c r="Z1124" s="104"/>
      <c r="AA1124" s="104"/>
      <c r="AB1124" s="104"/>
      <c r="AC1124" s="104"/>
      <c r="AD1124" s="104"/>
    </row>
    <row r="1125" spans="1:30" ht="12.75">
      <c r="A1125" s="104"/>
      <c r="B1125" s="104"/>
      <c r="C1125" s="104"/>
      <c r="D1125" s="104"/>
      <c r="E1125" s="104"/>
      <c r="F1125" s="193"/>
      <c r="G1125" s="104"/>
      <c r="H1125" s="104"/>
      <c r="I1125" s="104"/>
      <c r="J1125" s="104"/>
      <c r="K1125" s="104"/>
      <c r="L1125" s="104"/>
      <c r="M1125" s="104"/>
      <c r="N1125" s="104"/>
      <c r="O1125" s="104"/>
      <c r="P1125" s="104"/>
      <c r="Q1125" s="104"/>
      <c r="R1125" s="104"/>
      <c r="S1125" s="104"/>
      <c r="T1125" s="104"/>
      <c r="U1125" s="104"/>
      <c r="V1125" s="104"/>
      <c r="W1125" s="104"/>
      <c r="X1125" s="104"/>
      <c r="Y1125" s="104"/>
      <c r="Z1125" s="104"/>
      <c r="AA1125" s="104"/>
      <c r="AB1125" s="104"/>
      <c r="AC1125" s="104"/>
      <c r="AD1125" s="104"/>
    </row>
    <row r="1126" spans="1:30" ht="12.75">
      <c r="A1126" s="104"/>
      <c r="B1126" s="104"/>
      <c r="C1126" s="104"/>
      <c r="D1126" s="104"/>
      <c r="E1126" s="104"/>
      <c r="F1126" s="193"/>
      <c r="G1126" s="104"/>
      <c r="H1126" s="104"/>
      <c r="I1126" s="104"/>
      <c r="J1126" s="104"/>
      <c r="K1126" s="104"/>
      <c r="L1126" s="104"/>
      <c r="M1126" s="104"/>
      <c r="N1126" s="104"/>
      <c r="O1126" s="104"/>
      <c r="P1126" s="104"/>
      <c r="Q1126" s="104"/>
      <c r="R1126" s="104"/>
      <c r="S1126" s="104"/>
      <c r="T1126" s="104"/>
      <c r="U1126" s="104"/>
      <c r="V1126" s="104"/>
      <c r="W1126" s="104"/>
      <c r="X1126" s="104"/>
      <c r="Y1126" s="104"/>
      <c r="Z1126" s="104"/>
      <c r="AA1126" s="104"/>
      <c r="AB1126" s="104"/>
      <c r="AC1126" s="104"/>
      <c r="AD1126" s="104"/>
    </row>
    <row r="1127" spans="1:30" ht="12.75">
      <c r="A1127" s="104"/>
      <c r="B1127" s="104"/>
      <c r="C1127" s="104"/>
      <c r="D1127" s="104"/>
      <c r="E1127" s="104"/>
      <c r="F1127" s="193"/>
      <c r="G1127" s="104"/>
      <c r="H1127" s="104"/>
      <c r="I1127" s="104"/>
      <c r="J1127" s="104"/>
      <c r="K1127" s="104"/>
      <c r="L1127" s="104"/>
      <c r="M1127" s="104"/>
      <c r="N1127" s="104"/>
      <c r="O1127" s="104"/>
      <c r="P1127" s="104"/>
      <c r="Q1127" s="104"/>
      <c r="R1127" s="104"/>
      <c r="S1127" s="104"/>
      <c r="T1127" s="104"/>
      <c r="U1127" s="104"/>
      <c r="V1127" s="104"/>
      <c r="W1127" s="104"/>
      <c r="X1127" s="104"/>
      <c r="Y1127" s="104"/>
      <c r="Z1127" s="104"/>
      <c r="AA1127" s="104"/>
      <c r="AB1127" s="104"/>
      <c r="AC1127" s="104"/>
      <c r="AD1127" s="104"/>
    </row>
    <row r="1128" spans="1:30" ht="12.75">
      <c r="A1128" s="104"/>
      <c r="B1128" s="104"/>
      <c r="C1128" s="104"/>
      <c r="D1128" s="104"/>
      <c r="E1128" s="104"/>
      <c r="F1128" s="193"/>
      <c r="G1128" s="104"/>
      <c r="H1128" s="104"/>
      <c r="I1128" s="104"/>
      <c r="J1128" s="104"/>
      <c r="K1128" s="104"/>
      <c r="L1128" s="104"/>
      <c r="M1128" s="104"/>
      <c r="N1128" s="104"/>
      <c r="O1128" s="104"/>
      <c r="P1128" s="104"/>
      <c r="Q1128" s="104"/>
      <c r="R1128" s="104"/>
      <c r="S1128" s="104"/>
      <c r="T1128" s="104"/>
      <c r="U1128" s="104"/>
      <c r="V1128" s="104"/>
      <c r="W1128" s="104"/>
      <c r="X1128" s="104"/>
      <c r="Y1128" s="104"/>
      <c r="Z1128" s="104"/>
      <c r="AA1128" s="104"/>
      <c r="AB1128" s="104"/>
      <c r="AC1128" s="104"/>
      <c r="AD1128" s="104"/>
    </row>
    <row r="1129" spans="1:30" ht="12.75">
      <c r="A1129" s="104"/>
      <c r="B1129" s="104"/>
      <c r="C1129" s="104"/>
      <c r="D1129" s="104"/>
      <c r="E1129" s="104"/>
      <c r="F1129" s="193"/>
      <c r="G1129" s="104"/>
      <c r="H1129" s="104"/>
      <c r="I1129" s="104"/>
      <c r="J1129" s="104"/>
      <c r="K1129" s="104"/>
      <c r="L1129" s="104"/>
      <c r="M1129" s="104"/>
      <c r="N1129" s="104"/>
      <c r="O1129" s="104"/>
      <c r="P1129" s="104"/>
      <c r="Q1129" s="104"/>
      <c r="R1129" s="104"/>
      <c r="S1129" s="104"/>
      <c r="T1129" s="104"/>
      <c r="U1129" s="104"/>
      <c r="V1129" s="104"/>
      <c r="W1129" s="104"/>
      <c r="X1129" s="104"/>
      <c r="Y1129" s="104"/>
      <c r="Z1129" s="104"/>
      <c r="AA1129" s="104"/>
      <c r="AB1129" s="104"/>
      <c r="AC1129" s="104"/>
      <c r="AD1129" s="104"/>
    </row>
    <row r="1130" spans="1:30" ht="12.75">
      <c r="A1130" s="104"/>
      <c r="B1130" s="104"/>
      <c r="C1130" s="104"/>
      <c r="D1130" s="104"/>
      <c r="E1130" s="104"/>
      <c r="F1130" s="193"/>
      <c r="G1130" s="104"/>
      <c r="H1130" s="104"/>
      <c r="I1130" s="104"/>
      <c r="J1130" s="104"/>
      <c r="K1130" s="104"/>
      <c r="L1130" s="104"/>
      <c r="M1130" s="104"/>
      <c r="N1130" s="104"/>
      <c r="O1130" s="104"/>
      <c r="P1130" s="104"/>
      <c r="Q1130" s="104"/>
      <c r="R1130" s="104"/>
      <c r="S1130" s="104"/>
      <c r="T1130" s="104"/>
      <c r="U1130" s="104"/>
      <c r="V1130" s="104"/>
      <c r="W1130" s="104"/>
      <c r="X1130" s="104"/>
      <c r="Y1130" s="104"/>
      <c r="Z1130" s="104"/>
      <c r="AA1130" s="104"/>
      <c r="AB1130" s="104"/>
      <c r="AC1130" s="104"/>
      <c r="AD1130" s="104"/>
    </row>
    <row r="1131" spans="1:30" ht="12.75">
      <c r="A1131" s="104"/>
      <c r="B1131" s="104"/>
      <c r="C1131" s="104"/>
      <c r="D1131" s="104"/>
      <c r="E1131" s="104"/>
      <c r="F1131" s="193"/>
      <c r="G1131" s="104"/>
      <c r="H1131" s="104"/>
      <c r="I1131" s="104"/>
      <c r="J1131" s="104"/>
      <c r="K1131" s="104"/>
      <c r="L1131" s="104"/>
      <c r="M1131" s="104"/>
      <c r="N1131" s="104"/>
      <c r="O1131" s="104"/>
      <c r="P1131" s="104"/>
      <c r="Q1131" s="104"/>
      <c r="R1131" s="104"/>
      <c r="S1131" s="104"/>
      <c r="T1131" s="104"/>
      <c r="U1131" s="104"/>
      <c r="V1131" s="104"/>
      <c r="W1131" s="104"/>
      <c r="X1131" s="104"/>
      <c r="Y1131" s="104"/>
      <c r="Z1131" s="104"/>
      <c r="AA1131" s="104"/>
      <c r="AB1131" s="104"/>
      <c r="AC1131" s="104"/>
      <c r="AD1131" s="104"/>
    </row>
    <row r="1132" spans="1:30" ht="12.75">
      <c r="A1132" s="104"/>
      <c r="B1132" s="104"/>
      <c r="C1132" s="104"/>
      <c r="D1132" s="104"/>
      <c r="E1132" s="104"/>
      <c r="F1132" s="193"/>
      <c r="G1132" s="104"/>
      <c r="H1132" s="104"/>
      <c r="I1132" s="104"/>
      <c r="J1132" s="104"/>
      <c r="K1132" s="104"/>
      <c r="L1132" s="104"/>
      <c r="M1132" s="104"/>
      <c r="N1132" s="104"/>
      <c r="O1132" s="104"/>
      <c r="P1132" s="104"/>
      <c r="Q1132" s="104"/>
      <c r="R1132" s="104"/>
      <c r="S1132" s="104"/>
      <c r="T1132" s="104"/>
      <c r="U1132" s="104"/>
      <c r="V1132" s="104"/>
      <c r="W1132" s="104"/>
      <c r="X1132" s="104"/>
      <c r="Y1132" s="104"/>
      <c r="Z1132" s="104"/>
      <c r="AA1132" s="104"/>
      <c r="AB1132" s="104"/>
      <c r="AC1132" s="104"/>
      <c r="AD1132" s="104"/>
    </row>
    <row r="1133" spans="1:30" ht="12.75">
      <c r="A1133" s="104"/>
      <c r="B1133" s="104"/>
      <c r="C1133" s="104"/>
      <c r="D1133" s="104"/>
      <c r="E1133" s="104"/>
      <c r="F1133" s="193"/>
      <c r="G1133" s="104"/>
      <c r="H1133" s="104"/>
      <c r="I1133" s="104"/>
      <c r="J1133" s="104"/>
      <c r="K1133" s="104"/>
      <c r="L1133" s="104"/>
      <c r="M1133" s="104"/>
      <c r="N1133" s="104"/>
      <c r="O1133" s="104"/>
      <c r="P1133" s="104"/>
      <c r="Q1133" s="104"/>
      <c r="R1133" s="104"/>
      <c r="S1133" s="104"/>
      <c r="T1133" s="104"/>
      <c r="U1133" s="104"/>
      <c r="V1133" s="104"/>
      <c r="W1133" s="104"/>
      <c r="X1133" s="104"/>
      <c r="Y1133" s="104"/>
      <c r="Z1133" s="104"/>
      <c r="AA1133" s="104"/>
      <c r="AB1133" s="104"/>
      <c r="AC1133" s="104"/>
      <c r="AD1133" s="104"/>
    </row>
    <row r="1134" spans="1:30" ht="12.75">
      <c r="A1134" s="104"/>
      <c r="B1134" s="104"/>
      <c r="C1134" s="104"/>
      <c r="D1134" s="104"/>
      <c r="E1134" s="104"/>
      <c r="F1134" s="193"/>
      <c r="G1134" s="104"/>
      <c r="H1134" s="104"/>
      <c r="I1134" s="104"/>
      <c r="J1134" s="104"/>
      <c r="K1134" s="104"/>
      <c r="L1134" s="104"/>
      <c r="M1134" s="104"/>
      <c r="N1134" s="104"/>
      <c r="O1134" s="104"/>
      <c r="P1134" s="104"/>
      <c r="Q1134" s="104"/>
      <c r="R1134" s="104"/>
      <c r="S1134" s="104"/>
      <c r="T1134" s="104"/>
      <c r="U1134" s="104"/>
      <c r="V1134" s="104"/>
      <c r="W1134" s="104"/>
      <c r="X1134" s="104"/>
      <c r="Y1134" s="104"/>
      <c r="Z1134" s="104"/>
      <c r="AA1134" s="104"/>
      <c r="AB1134" s="104"/>
      <c r="AC1134" s="104"/>
      <c r="AD1134" s="104"/>
    </row>
    <row r="1135" spans="1:30" ht="12.75">
      <c r="A1135" s="104"/>
      <c r="B1135" s="104"/>
      <c r="C1135" s="104"/>
      <c r="D1135" s="104"/>
      <c r="E1135" s="104"/>
      <c r="F1135" s="193"/>
      <c r="G1135" s="104"/>
      <c r="H1135" s="104"/>
      <c r="I1135" s="104"/>
      <c r="J1135" s="104"/>
      <c r="K1135" s="104"/>
      <c r="L1135" s="104"/>
      <c r="M1135" s="104"/>
      <c r="N1135" s="104"/>
      <c r="O1135" s="104"/>
      <c r="P1135" s="104"/>
      <c r="Q1135" s="104"/>
      <c r="R1135" s="104"/>
      <c r="S1135" s="104"/>
      <c r="T1135" s="104"/>
      <c r="U1135" s="104"/>
      <c r="V1135" s="104"/>
      <c r="W1135" s="104"/>
      <c r="X1135" s="104"/>
      <c r="Y1135" s="104"/>
      <c r="Z1135" s="104"/>
      <c r="AA1135" s="104"/>
      <c r="AB1135" s="104"/>
      <c r="AC1135" s="104"/>
      <c r="AD1135" s="104"/>
    </row>
    <row r="1136" spans="1:30" ht="12.75">
      <c r="A1136" s="104"/>
      <c r="B1136" s="104"/>
      <c r="C1136" s="104"/>
      <c r="D1136" s="104"/>
      <c r="E1136" s="104"/>
      <c r="F1136" s="193"/>
      <c r="G1136" s="104"/>
      <c r="H1136" s="104"/>
      <c r="I1136" s="104"/>
      <c r="J1136" s="104"/>
      <c r="K1136" s="104"/>
      <c r="L1136" s="104"/>
      <c r="M1136" s="104"/>
      <c r="N1136" s="104"/>
      <c r="O1136" s="104"/>
      <c r="P1136" s="104"/>
      <c r="Q1136" s="104"/>
      <c r="R1136" s="104"/>
      <c r="S1136" s="104"/>
      <c r="T1136" s="104"/>
      <c r="U1136" s="104"/>
      <c r="V1136" s="104"/>
      <c r="W1136" s="104"/>
      <c r="X1136" s="104"/>
      <c r="Y1136" s="104"/>
      <c r="Z1136" s="104"/>
      <c r="AA1136" s="104"/>
      <c r="AB1136" s="104"/>
      <c r="AC1136" s="104"/>
      <c r="AD1136" s="104"/>
    </row>
    <row r="1137" spans="1:30" ht="12.75">
      <c r="A1137" s="104"/>
      <c r="B1137" s="104"/>
      <c r="C1137" s="104"/>
      <c r="D1137" s="104"/>
      <c r="E1137" s="104"/>
      <c r="F1137" s="193"/>
      <c r="G1137" s="104"/>
      <c r="H1137" s="104"/>
      <c r="I1137" s="104"/>
      <c r="J1137" s="104"/>
      <c r="K1137" s="104"/>
      <c r="L1137" s="104"/>
      <c r="M1137" s="104"/>
      <c r="N1137" s="104"/>
      <c r="O1137" s="104"/>
      <c r="P1137" s="104"/>
      <c r="Q1137" s="104"/>
      <c r="R1137" s="104"/>
      <c r="S1137" s="104"/>
      <c r="T1137" s="104"/>
      <c r="U1137" s="104"/>
      <c r="V1137" s="104"/>
      <c r="W1137" s="104"/>
      <c r="X1137" s="104"/>
      <c r="Y1137" s="104"/>
      <c r="Z1137" s="104"/>
      <c r="AA1137" s="104"/>
      <c r="AB1137" s="104"/>
      <c r="AC1137" s="104"/>
      <c r="AD1137" s="104"/>
    </row>
    <row r="1138" spans="1:30" ht="12.75">
      <c r="A1138" s="104"/>
      <c r="B1138" s="104"/>
      <c r="C1138" s="104"/>
      <c r="D1138" s="104"/>
      <c r="E1138" s="104"/>
      <c r="F1138" s="193"/>
      <c r="G1138" s="104"/>
      <c r="H1138" s="104"/>
      <c r="I1138" s="104"/>
      <c r="J1138" s="104"/>
      <c r="K1138" s="104"/>
      <c r="L1138" s="104"/>
      <c r="M1138" s="104"/>
      <c r="N1138" s="104"/>
      <c r="O1138" s="104"/>
      <c r="P1138" s="104"/>
      <c r="Q1138" s="104"/>
      <c r="R1138" s="104"/>
      <c r="S1138" s="104"/>
      <c r="T1138" s="104"/>
      <c r="U1138" s="104"/>
      <c r="V1138" s="104"/>
      <c r="W1138" s="104"/>
      <c r="X1138" s="104"/>
      <c r="Y1138" s="104"/>
      <c r="Z1138" s="104"/>
      <c r="AA1138" s="104"/>
      <c r="AB1138" s="104"/>
      <c r="AC1138" s="104"/>
      <c r="AD1138" s="104"/>
    </row>
    <row r="1139" spans="1:30" ht="12.75">
      <c r="A1139" s="104"/>
      <c r="B1139" s="104"/>
      <c r="C1139" s="104"/>
      <c r="D1139" s="104"/>
      <c r="E1139" s="104"/>
      <c r="F1139" s="193"/>
      <c r="G1139" s="104"/>
      <c r="H1139" s="104"/>
      <c r="I1139" s="104"/>
      <c r="J1139" s="104"/>
      <c r="K1139" s="104"/>
      <c r="L1139" s="104"/>
      <c r="M1139" s="104"/>
      <c r="N1139" s="104"/>
      <c r="O1139" s="104"/>
      <c r="P1139" s="104"/>
      <c r="Q1139" s="104"/>
      <c r="R1139" s="104"/>
      <c r="S1139" s="104"/>
      <c r="T1139" s="104"/>
      <c r="U1139" s="104"/>
      <c r="V1139" s="104"/>
      <c r="W1139" s="104"/>
      <c r="X1139" s="104"/>
      <c r="Y1139" s="104"/>
      <c r="Z1139" s="104"/>
      <c r="AA1139" s="104"/>
      <c r="AB1139" s="104"/>
      <c r="AC1139" s="104"/>
      <c r="AD1139" s="104"/>
    </row>
    <row r="1140" spans="1:30" ht="12.75">
      <c r="A1140" s="104"/>
      <c r="B1140" s="104"/>
      <c r="C1140" s="104"/>
      <c r="D1140" s="104"/>
      <c r="E1140" s="104"/>
      <c r="F1140" s="193"/>
      <c r="G1140" s="104"/>
      <c r="H1140" s="104"/>
      <c r="I1140" s="104"/>
      <c r="J1140" s="104"/>
      <c r="K1140" s="104"/>
      <c r="L1140" s="104"/>
      <c r="M1140" s="104"/>
      <c r="N1140" s="104"/>
      <c r="O1140" s="104"/>
      <c r="P1140" s="104"/>
      <c r="Q1140" s="104"/>
      <c r="R1140" s="104"/>
      <c r="S1140" s="104"/>
      <c r="T1140" s="104"/>
      <c r="U1140" s="104"/>
      <c r="V1140" s="104"/>
      <c r="W1140" s="104"/>
      <c r="X1140" s="104"/>
      <c r="Y1140" s="104"/>
      <c r="Z1140" s="104"/>
      <c r="AA1140" s="104"/>
      <c r="AB1140" s="104"/>
      <c r="AC1140" s="104"/>
      <c r="AD1140" s="104"/>
    </row>
    <row r="1141" spans="1:30" ht="12.75">
      <c r="A1141" s="104"/>
      <c r="B1141" s="104"/>
      <c r="C1141" s="104"/>
      <c r="D1141" s="104"/>
      <c r="E1141" s="104"/>
      <c r="F1141" s="193"/>
      <c r="G1141" s="104"/>
      <c r="H1141" s="104"/>
      <c r="I1141" s="104"/>
      <c r="J1141" s="104"/>
      <c r="K1141" s="104"/>
      <c r="L1141" s="104"/>
      <c r="M1141" s="104"/>
      <c r="N1141" s="104"/>
      <c r="O1141" s="104"/>
      <c r="P1141" s="104"/>
      <c r="Q1141" s="104"/>
      <c r="R1141" s="104"/>
      <c r="S1141" s="104"/>
      <c r="T1141" s="104"/>
      <c r="U1141" s="104"/>
      <c r="V1141" s="104"/>
      <c r="W1141" s="104"/>
      <c r="X1141" s="104"/>
      <c r="Y1141" s="104"/>
      <c r="Z1141" s="104"/>
      <c r="AA1141" s="104"/>
      <c r="AB1141" s="104"/>
      <c r="AC1141" s="104"/>
      <c r="AD1141" s="104"/>
    </row>
    <row r="1142" spans="1:30" ht="12.75">
      <c r="A1142" s="104"/>
      <c r="B1142" s="104"/>
      <c r="C1142" s="104"/>
      <c r="D1142" s="104"/>
      <c r="E1142" s="104"/>
      <c r="F1142" s="193"/>
      <c r="G1142" s="104"/>
      <c r="H1142" s="104"/>
      <c r="I1142" s="104"/>
      <c r="J1142" s="104"/>
      <c r="K1142" s="104"/>
      <c r="L1142" s="104"/>
      <c r="M1142" s="104"/>
      <c r="N1142" s="104"/>
      <c r="O1142" s="104"/>
      <c r="P1142" s="104"/>
      <c r="Q1142" s="104"/>
      <c r="R1142" s="104"/>
      <c r="S1142" s="104"/>
      <c r="T1142" s="104"/>
      <c r="U1142" s="104"/>
      <c r="V1142" s="104"/>
      <c r="W1142" s="104"/>
      <c r="X1142" s="104"/>
      <c r="Y1142" s="104"/>
      <c r="Z1142" s="104"/>
      <c r="AA1142" s="104"/>
      <c r="AB1142" s="104"/>
      <c r="AC1142" s="104"/>
      <c r="AD1142" s="104"/>
    </row>
    <row r="1143" spans="1:30" ht="12.75">
      <c r="A1143" s="104"/>
      <c r="B1143" s="104"/>
      <c r="C1143" s="104"/>
      <c r="D1143" s="104"/>
      <c r="E1143" s="104"/>
      <c r="F1143" s="193"/>
      <c r="G1143" s="104"/>
      <c r="H1143" s="104"/>
      <c r="I1143" s="104"/>
      <c r="J1143" s="104"/>
      <c r="K1143" s="104"/>
      <c r="L1143" s="104"/>
      <c r="M1143" s="104"/>
      <c r="N1143" s="104"/>
      <c r="O1143" s="104"/>
      <c r="P1143" s="104"/>
      <c r="Q1143" s="104"/>
      <c r="R1143" s="104"/>
      <c r="S1143" s="104"/>
      <c r="T1143" s="104"/>
      <c r="U1143" s="104"/>
      <c r="V1143" s="104"/>
      <c r="W1143" s="104"/>
      <c r="X1143" s="104"/>
      <c r="Y1143" s="104"/>
      <c r="Z1143" s="104"/>
      <c r="AA1143" s="104"/>
      <c r="AB1143" s="104"/>
      <c r="AC1143" s="104"/>
      <c r="AD1143" s="104"/>
    </row>
    <row r="1144" spans="1:30" ht="12.75">
      <c r="A1144" s="104"/>
      <c r="B1144" s="104"/>
      <c r="C1144" s="104"/>
      <c r="D1144" s="104"/>
      <c r="E1144" s="104"/>
      <c r="F1144" s="193"/>
      <c r="G1144" s="104"/>
      <c r="H1144" s="104"/>
      <c r="I1144" s="104"/>
      <c r="J1144" s="104"/>
      <c r="K1144" s="104"/>
      <c r="L1144" s="104"/>
      <c r="M1144" s="104"/>
      <c r="N1144" s="104"/>
      <c r="O1144" s="104"/>
      <c r="P1144" s="104"/>
      <c r="Q1144" s="104"/>
      <c r="R1144" s="104"/>
      <c r="S1144" s="104"/>
      <c r="T1144" s="104"/>
      <c r="U1144" s="104"/>
      <c r="V1144" s="104"/>
      <c r="W1144" s="104"/>
      <c r="X1144" s="104"/>
      <c r="Y1144" s="104"/>
      <c r="Z1144" s="104"/>
      <c r="AA1144" s="104"/>
      <c r="AB1144" s="104"/>
      <c r="AC1144" s="104"/>
      <c r="AD1144" s="104"/>
    </row>
    <row r="1145" spans="1:30" ht="12.75">
      <c r="A1145" s="104"/>
      <c r="B1145" s="104"/>
      <c r="C1145" s="104"/>
      <c r="D1145" s="104"/>
      <c r="E1145" s="104"/>
      <c r="F1145" s="193"/>
      <c r="G1145" s="104"/>
      <c r="H1145" s="104"/>
      <c r="I1145" s="104"/>
      <c r="J1145" s="104"/>
      <c r="K1145" s="104"/>
      <c r="L1145" s="104"/>
      <c r="M1145" s="104"/>
      <c r="N1145" s="104"/>
      <c r="O1145" s="104"/>
      <c r="P1145" s="104"/>
      <c r="Q1145" s="104"/>
      <c r="R1145" s="104"/>
      <c r="S1145" s="104"/>
      <c r="T1145" s="104"/>
      <c r="U1145" s="104"/>
      <c r="V1145" s="104"/>
      <c r="W1145" s="104"/>
      <c r="X1145" s="104"/>
      <c r="Y1145" s="104"/>
      <c r="Z1145" s="104"/>
      <c r="AA1145" s="104"/>
      <c r="AB1145" s="104"/>
      <c r="AC1145" s="104"/>
      <c r="AD1145" s="104"/>
    </row>
    <row r="1146" spans="1:30" ht="12.75">
      <c r="A1146" s="104"/>
      <c r="B1146" s="104"/>
      <c r="C1146" s="104"/>
      <c r="D1146" s="104"/>
      <c r="E1146" s="104"/>
      <c r="F1146" s="193"/>
      <c r="G1146" s="104"/>
      <c r="H1146" s="104"/>
      <c r="I1146" s="104"/>
      <c r="J1146" s="104"/>
      <c r="K1146" s="104"/>
      <c r="L1146" s="104"/>
      <c r="M1146" s="104"/>
      <c r="N1146" s="104"/>
      <c r="O1146" s="104"/>
      <c r="P1146" s="104"/>
      <c r="Q1146" s="104"/>
      <c r="R1146" s="104"/>
      <c r="S1146" s="104"/>
      <c r="T1146" s="104"/>
      <c r="U1146" s="104"/>
      <c r="V1146" s="104"/>
      <c r="W1146" s="104"/>
      <c r="X1146" s="104"/>
      <c r="Y1146" s="104"/>
      <c r="Z1146" s="104"/>
      <c r="AA1146" s="104"/>
      <c r="AB1146" s="104"/>
      <c r="AC1146" s="104"/>
      <c r="AD1146" s="104"/>
    </row>
    <row r="1147" spans="1:30" ht="12.75">
      <c r="A1147" s="104"/>
      <c r="B1147" s="104"/>
      <c r="C1147" s="104"/>
      <c r="D1147" s="104"/>
      <c r="E1147" s="104"/>
      <c r="F1147" s="193"/>
      <c r="G1147" s="104"/>
      <c r="H1147" s="104"/>
      <c r="I1147" s="104"/>
      <c r="J1147" s="104"/>
      <c r="K1147" s="104"/>
      <c r="L1147" s="104"/>
      <c r="M1147" s="104"/>
      <c r="N1147" s="104"/>
      <c r="O1147" s="104"/>
      <c r="P1147" s="104"/>
      <c r="Q1147" s="104"/>
      <c r="R1147" s="104"/>
      <c r="S1147" s="104"/>
      <c r="T1147" s="104"/>
      <c r="U1147" s="104"/>
      <c r="V1147" s="104"/>
      <c r="W1147" s="104"/>
      <c r="X1147" s="104"/>
      <c r="Y1147" s="104"/>
      <c r="Z1147" s="104"/>
      <c r="AA1147" s="104"/>
      <c r="AB1147" s="104"/>
      <c r="AC1147" s="104"/>
      <c r="AD1147" s="104"/>
    </row>
    <row r="1148" spans="1:30" ht="12.75">
      <c r="A1148" s="104"/>
      <c r="B1148" s="104"/>
      <c r="C1148" s="104"/>
      <c r="D1148" s="104"/>
      <c r="E1148" s="104"/>
      <c r="F1148" s="193"/>
      <c r="G1148" s="104"/>
      <c r="H1148" s="104"/>
      <c r="I1148" s="104"/>
      <c r="J1148" s="104"/>
      <c r="K1148" s="104"/>
      <c r="L1148" s="104"/>
      <c r="M1148" s="104"/>
      <c r="N1148" s="104"/>
      <c r="O1148" s="104"/>
      <c r="P1148" s="104"/>
      <c r="Q1148" s="104"/>
      <c r="R1148" s="104"/>
      <c r="S1148" s="104"/>
      <c r="T1148" s="104"/>
      <c r="U1148" s="104"/>
      <c r="V1148" s="104"/>
      <c r="W1148" s="104"/>
      <c r="X1148" s="104"/>
      <c r="Y1148" s="104"/>
      <c r="Z1148" s="104"/>
      <c r="AA1148" s="104"/>
      <c r="AB1148" s="104"/>
      <c r="AC1148" s="104"/>
      <c r="AD1148" s="104"/>
    </row>
    <row r="1149" spans="1:30" ht="12.75">
      <c r="A1149" s="104"/>
      <c r="B1149" s="104"/>
      <c r="C1149" s="104"/>
      <c r="D1149" s="104"/>
      <c r="E1149" s="104"/>
      <c r="F1149" s="193"/>
      <c r="G1149" s="104"/>
      <c r="H1149" s="104"/>
      <c r="I1149" s="104"/>
      <c r="J1149" s="104"/>
      <c r="K1149" s="104"/>
      <c r="L1149" s="104"/>
      <c r="M1149" s="104"/>
      <c r="N1149" s="104"/>
      <c r="O1149" s="104"/>
      <c r="P1149" s="104"/>
      <c r="Q1149" s="104"/>
      <c r="R1149" s="104"/>
      <c r="S1149" s="104"/>
      <c r="T1149" s="104"/>
      <c r="U1149" s="104"/>
      <c r="V1149" s="104"/>
      <c r="W1149" s="104"/>
      <c r="X1149" s="104"/>
      <c r="Y1149" s="104"/>
      <c r="Z1149" s="104"/>
      <c r="AA1149" s="104"/>
      <c r="AB1149" s="104"/>
      <c r="AC1149" s="104"/>
      <c r="AD1149" s="104"/>
    </row>
    <row r="1150" spans="1:30" ht="12.75">
      <c r="A1150" s="104"/>
      <c r="B1150" s="104"/>
      <c r="C1150" s="104"/>
      <c r="D1150" s="104"/>
      <c r="E1150" s="104"/>
      <c r="F1150" s="193"/>
      <c r="G1150" s="104"/>
      <c r="H1150" s="104"/>
      <c r="I1150" s="104"/>
      <c r="J1150" s="104"/>
      <c r="K1150" s="104"/>
      <c r="L1150" s="104"/>
      <c r="M1150" s="104"/>
      <c r="N1150" s="104"/>
      <c r="O1150" s="104"/>
      <c r="P1150" s="104"/>
      <c r="Q1150" s="104"/>
      <c r="R1150" s="104"/>
      <c r="S1150" s="104"/>
      <c r="T1150" s="104"/>
      <c r="U1150" s="104"/>
      <c r="V1150" s="104"/>
      <c r="W1150" s="104"/>
      <c r="X1150" s="104"/>
      <c r="Y1150" s="104"/>
      <c r="Z1150" s="104"/>
      <c r="AA1150" s="104"/>
      <c r="AB1150" s="104"/>
      <c r="AC1150" s="104"/>
      <c r="AD1150" s="104"/>
    </row>
    <row r="1151" spans="1:30" ht="12.75">
      <c r="A1151" s="104"/>
      <c r="B1151" s="104"/>
      <c r="C1151" s="104"/>
      <c r="D1151" s="104"/>
      <c r="E1151" s="104"/>
      <c r="F1151" s="193"/>
      <c r="G1151" s="104"/>
      <c r="H1151" s="104"/>
      <c r="I1151" s="104"/>
      <c r="J1151" s="104"/>
      <c r="K1151" s="104"/>
      <c r="L1151" s="104"/>
      <c r="M1151" s="104"/>
      <c r="N1151" s="104"/>
      <c r="O1151" s="104"/>
      <c r="P1151" s="104"/>
      <c r="Q1151" s="104"/>
      <c r="R1151" s="104"/>
      <c r="S1151" s="104"/>
      <c r="T1151" s="104"/>
      <c r="U1151" s="104"/>
      <c r="V1151" s="104"/>
      <c r="W1151" s="104"/>
      <c r="X1151" s="104"/>
      <c r="Y1151" s="104"/>
      <c r="Z1151" s="104"/>
      <c r="AA1151" s="104"/>
      <c r="AB1151" s="104"/>
      <c r="AC1151" s="104"/>
      <c r="AD1151" s="104"/>
    </row>
    <row r="1152" spans="1:30" ht="12.75">
      <c r="A1152" s="104"/>
      <c r="B1152" s="104"/>
      <c r="C1152" s="104"/>
      <c r="D1152" s="104"/>
      <c r="E1152" s="104"/>
      <c r="F1152" s="193"/>
      <c r="G1152" s="104"/>
      <c r="H1152" s="104"/>
      <c r="I1152" s="104"/>
      <c r="J1152" s="104"/>
      <c r="K1152" s="104"/>
      <c r="L1152" s="104"/>
      <c r="M1152" s="104"/>
      <c r="N1152" s="104"/>
      <c r="O1152" s="104"/>
      <c r="P1152" s="104"/>
      <c r="Q1152" s="104"/>
      <c r="R1152" s="104"/>
      <c r="S1152" s="104"/>
      <c r="T1152" s="104"/>
      <c r="U1152" s="104"/>
      <c r="V1152" s="104"/>
      <c r="W1152" s="104"/>
      <c r="X1152" s="104"/>
      <c r="Y1152" s="104"/>
      <c r="Z1152" s="104"/>
      <c r="AA1152" s="104"/>
      <c r="AB1152" s="104"/>
      <c r="AC1152" s="104"/>
      <c r="AD1152" s="104"/>
    </row>
    <row r="1153" spans="1:30" ht="12.75">
      <c r="A1153" s="104"/>
      <c r="B1153" s="104"/>
      <c r="C1153" s="104"/>
      <c r="D1153" s="104"/>
      <c r="E1153" s="104"/>
      <c r="F1153" s="193"/>
      <c r="G1153" s="104"/>
      <c r="H1153" s="104"/>
      <c r="I1153" s="104"/>
      <c r="J1153" s="104"/>
      <c r="K1153" s="104"/>
      <c r="L1153" s="104"/>
      <c r="M1153" s="104"/>
      <c r="N1153" s="104"/>
      <c r="O1153" s="104"/>
      <c r="P1153" s="104"/>
      <c r="Q1153" s="104"/>
      <c r="R1153" s="104"/>
      <c r="S1153" s="104"/>
      <c r="T1153" s="104"/>
      <c r="U1153" s="104"/>
      <c r="V1153" s="104"/>
      <c r="W1153" s="104"/>
      <c r="X1153" s="104"/>
      <c r="Y1153" s="104"/>
      <c r="Z1153" s="104"/>
      <c r="AA1153" s="104"/>
      <c r="AB1153" s="104"/>
      <c r="AC1153" s="104"/>
      <c r="AD1153" s="104"/>
    </row>
    <row r="1154" spans="1:30" ht="12.75">
      <c r="A1154" s="104"/>
      <c r="B1154" s="104"/>
      <c r="C1154" s="104"/>
      <c r="D1154" s="104"/>
      <c r="E1154" s="104"/>
      <c r="F1154" s="193"/>
      <c r="G1154" s="104"/>
      <c r="H1154" s="104"/>
      <c r="I1154" s="104"/>
      <c r="J1154" s="104"/>
      <c r="K1154" s="104"/>
      <c r="L1154" s="104"/>
      <c r="M1154" s="104"/>
      <c r="N1154" s="104"/>
      <c r="O1154" s="104"/>
      <c r="P1154" s="104"/>
      <c r="Q1154" s="104"/>
      <c r="R1154" s="104"/>
      <c r="S1154" s="104"/>
      <c r="T1154" s="104"/>
      <c r="U1154" s="104"/>
      <c r="V1154" s="104"/>
      <c r="W1154" s="104"/>
      <c r="X1154" s="104"/>
      <c r="Y1154" s="104"/>
      <c r="Z1154" s="104"/>
      <c r="AA1154" s="104"/>
      <c r="AB1154" s="104"/>
      <c r="AC1154" s="104"/>
      <c r="AD1154" s="104"/>
    </row>
    <row r="1155" spans="1:30" ht="12.75">
      <c r="A1155" s="104"/>
      <c r="B1155" s="104"/>
      <c r="C1155" s="104"/>
      <c r="D1155" s="104"/>
      <c r="E1155" s="104"/>
      <c r="F1155" s="193"/>
      <c r="G1155" s="104"/>
      <c r="H1155" s="104"/>
      <c r="I1155" s="104"/>
      <c r="J1155" s="104"/>
      <c r="K1155" s="104"/>
      <c r="L1155" s="104"/>
      <c r="M1155" s="104"/>
      <c r="N1155" s="104"/>
      <c r="O1155" s="104"/>
      <c r="P1155" s="104"/>
      <c r="Q1155" s="104"/>
      <c r="R1155" s="104"/>
      <c r="S1155" s="104"/>
      <c r="T1155" s="104"/>
      <c r="U1155" s="104"/>
      <c r="V1155" s="104"/>
      <c r="W1155" s="104"/>
      <c r="X1155" s="104"/>
      <c r="Y1155" s="104"/>
      <c r="Z1155" s="104"/>
      <c r="AA1155" s="104"/>
      <c r="AB1155" s="104"/>
      <c r="AC1155" s="104"/>
      <c r="AD1155" s="104"/>
    </row>
    <row r="1156" spans="1:30" ht="12.75">
      <c r="A1156" s="104"/>
      <c r="B1156" s="104"/>
      <c r="C1156" s="104"/>
      <c r="D1156" s="104"/>
      <c r="E1156" s="104"/>
      <c r="F1156" s="193"/>
      <c r="G1156" s="104"/>
      <c r="H1156" s="104"/>
      <c r="I1156" s="104"/>
      <c r="J1156" s="104"/>
      <c r="K1156" s="104"/>
      <c r="L1156" s="104"/>
      <c r="M1156" s="104"/>
      <c r="N1156" s="104"/>
      <c r="O1156" s="104"/>
      <c r="P1156" s="104"/>
      <c r="Q1156" s="104"/>
      <c r="R1156" s="104"/>
      <c r="S1156" s="104"/>
      <c r="T1156" s="104"/>
      <c r="U1156" s="104"/>
      <c r="V1156" s="104"/>
      <c r="W1156" s="104"/>
      <c r="X1156" s="104"/>
      <c r="Y1156" s="104"/>
      <c r="Z1156" s="104"/>
      <c r="AA1156" s="104"/>
      <c r="AB1156" s="104"/>
      <c r="AC1156" s="104"/>
      <c r="AD1156" s="104"/>
    </row>
    <row r="1157" spans="1:30" ht="12.75">
      <c r="A1157" s="104"/>
      <c r="B1157" s="104"/>
      <c r="C1157" s="104"/>
      <c r="D1157" s="104"/>
      <c r="E1157" s="104"/>
      <c r="F1157" s="193"/>
      <c r="G1157" s="104"/>
      <c r="H1157" s="104"/>
      <c r="I1157" s="104"/>
      <c r="J1157" s="104"/>
      <c r="K1157" s="104"/>
      <c r="L1157" s="104"/>
      <c r="M1157" s="104"/>
      <c r="N1157" s="104"/>
      <c r="O1157" s="104"/>
      <c r="P1157" s="104"/>
      <c r="Q1157" s="104"/>
      <c r="R1157" s="104"/>
      <c r="S1157" s="104"/>
      <c r="T1157" s="104"/>
      <c r="U1157" s="104"/>
      <c r="V1157" s="104"/>
      <c r="W1157" s="104"/>
      <c r="X1157" s="104"/>
      <c r="Y1157" s="104"/>
      <c r="Z1157" s="104"/>
      <c r="AA1157" s="104"/>
      <c r="AB1157" s="104"/>
      <c r="AC1157" s="104"/>
      <c r="AD1157" s="104"/>
    </row>
    <row r="1158" spans="1:30" ht="12.75">
      <c r="A1158" s="104"/>
      <c r="B1158" s="104"/>
      <c r="C1158" s="104"/>
      <c r="D1158" s="104"/>
      <c r="E1158" s="104"/>
      <c r="F1158" s="193"/>
      <c r="G1158" s="104"/>
      <c r="H1158" s="104"/>
      <c r="I1158" s="104"/>
      <c r="J1158" s="104"/>
      <c r="K1158" s="104"/>
      <c r="L1158" s="104"/>
      <c r="M1158" s="104"/>
      <c r="N1158" s="104"/>
      <c r="O1158" s="104"/>
      <c r="P1158" s="104"/>
      <c r="Q1158" s="104"/>
      <c r="R1158" s="104"/>
      <c r="S1158" s="104"/>
      <c r="T1158" s="104"/>
      <c r="U1158" s="104"/>
      <c r="V1158" s="104"/>
      <c r="W1158" s="104"/>
      <c r="X1158" s="104"/>
      <c r="Y1158" s="104"/>
      <c r="Z1158" s="104"/>
      <c r="AA1158" s="104"/>
      <c r="AB1158" s="104"/>
      <c r="AC1158" s="104"/>
      <c r="AD1158" s="104"/>
    </row>
    <row r="1159" spans="1:30" ht="12.75">
      <c r="A1159" s="104"/>
      <c r="B1159" s="104"/>
      <c r="C1159" s="104"/>
      <c r="D1159" s="104"/>
      <c r="E1159" s="104"/>
      <c r="F1159" s="193"/>
      <c r="G1159" s="104"/>
      <c r="H1159" s="104"/>
      <c r="I1159" s="104"/>
      <c r="J1159" s="104"/>
      <c r="K1159" s="104"/>
      <c r="L1159" s="104"/>
      <c r="M1159" s="104"/>
      <c r="N1159" s="104"/>
      <c r="O1159" s="104"/>
      <c r="P1159" s="104"/>
      <c r="Q1159" s="104"/>
      <c r="R1159" s="104"/>
      <c r="S1159" s="104"/>
      <c r="T1159" s="104"/>
      <c r="U1159" s="104"/>
      <c r="V1159" s="104"/>
      <c r="W1159" s="104"/>
      <c r="X1159" s="104"/>
      <c r="Y1159" s="104"/>
      <c r="Z1159" s="104"/>
      <c r="AA1159" s="104"/>
      <c r="AB1159" s="104"/>
      <c r="AC1159" s="104"/>
      <c r="AD1159" s="104"/>
    </row>
    <row r="1160" spans="1:30" ht="12.75">
      <c r="A1160" s="104"/>
      <c r="B1160" s="104"/>
      <c r="C1160" s="104"/>
      <c r="D1160" s="104"/>
      <c r="E1160" s="104"/>
      <c r="F1160" s="193"/>
      <c r="G1160" s="104"/>
      <c r="H1160" s="104"/>
      <c r="I1160" s="104"/>
      <c r="J1160" s="104"/>
      <c r="K1160" s="104"/>
      <c r="L1160" s="104"/>
      <c r="M1160" s="104"/>
      <c r="N1160" s="104"/>
      <c r="O1160" s="104"/>
      <c r="P1160" s="104"/>
      <c r="Q1160" s="104"/>
      <c r="R1160" s="104"/>
      <c r="S1160" s="104"/>
      <c r="T1160" s="104"/>
      <c r="U1160" s="104"/>
      <c r="V1160" s="104"/>
      <c r="W1160" s="104"/>
      <c r="X1160" s="104"/>
      <c r="Y1160" s="104"/>
      <c r="Z1160" s="104"/>
      <c r="AA1160" s="104"/>
      <c r="AB1160" s="104"/>
      <c r="AC1160" s="104"/>
      <c r="AD1160" s="104"/>
    </row>
    <row r="1161" spans="1:30" ht="12.75">
      <c r="A1161" s="104"/>
      <c r="B1161" s="104"/>
      <c r="C1161" s="104"/>
      <c r="D1161" s="104"/>
      <c r="E1161" s="104"/>
      <c r="F1161" s="193"/>
      <c r="G1161" s="104"/>
      <c r="H1161" s="104"/>
      <c r="I1161" s="104"/>
      <c r="J1161" s="104"/>
      <c r="K1161" s="104"/>
      <c r="L1161" s="104"/>
      <c r="M1161" s="104"/>
      <c r="N1161" s="104"/>
      <c r="O1161" s="104"/>
      <c r="P1161" s="104"/>
      <c r="Q1161" s="104"/>
      <c r="R1161" s="104"/>
      <c r="S1161" s="104"/>
      <c r="T1161" s="104"/>
      <c r="U1161" s="104"/>
      <c r="V1161" s="104"/>
      <c r="W1161" s="104"/>
      <c r="X1161" s="104"/>
      <c r="Y1161" s="104"/>
      <c r="Z1161" s="104"/>
      <c r="AA1161" s="104"/>
      <c r="AB1161" s="104"/>
      <c r="AC1161" s="104"/>
      <c r="AD1161" s="104"/>
    </row>
    <row r="1162" spans="1:30" ht="12.75">
      <c r="A1162" s="104"/>
      <c r="B1162" s="104"/>
      <c r="C1162" s="104"/>
      <c r="D1162" s="104"/>
      <c r="E1162" s="104"/>
      <c r="F1162" s="193"/>
      <c r="G1162" s="104"/>
      <c r="H1162" s="104"/>
      <c r="I1162" s="104"/>
      <c r="J1162" s="104"/>
      <c r="K1162" s="104"/>
      <c r="L1162" s="104"/>
      <c r="M1162" s="104"/>
      <c r="N1162" s="104"/>
      <c r="O1162" s="104"/>
      <c r="P1162" s="104"/>
      <c r="Q1162" s="104"/>
      <c r="R1162" s="104"/>
      <c r="S1162" s="104"/>
      <c r="T1162" s="104"/>
      <c r="U1162" s="104"/>
      <c r="V1162" s="104"/>
      <c r="W1162" s="104"/>
      <c r="X1162" s="104"/>
      <c r="Y1162" s="104"/>
      <c r="Z1162" s="104"/>
      <c r="AA1162" s="104"/>
      <c r="AB1162" s="104"/>
      <c r="AC1162" s="104"/>
      <c r="AD1162" s="104"/>
    </row>
    <row r="1163" spans="1:30" ht="12.75">
      <c r="A1163" s="104"/>
      <c r="B1163" s="104"/>
      <c r="C1163" s="104"/>
      <c r="D1163" s="104"/>
      <c r="E1163" s="104"/>
      <c r="F1163" s="193"/>
      <c r="G1163" s="104"/>
      <c r="H1163" s="104"/>
      <c r="I1163" s="104"/>
      <c r="J1163" s="104"/>
      <c r="K1163" s="104"/>
      <c r="L1163" s="104"/>
      <c r="M1163" s="104"/>
      <c r="N1163" s="104"/>
      <c r="O1163" s="104"/>
      <c r="P1163" s="104"/>
      <c r="Q1163" s="104"/>
      <c r="R1163" s="104"/>
      <c r="S1163" s="104"/>
      <c r="T1163" s="104"/>
      <c r="U1163" s="104"/>
      <c r="V1163" s="104"/>
      <c r="W1163" s="104"/>
      <c r="X1163" s="104"/>
      <c r="Y1163" s="104"/>
      <c r="Z1163" s="104"/>
      <c r="AA1163" s="104"/>
      <c r="AB1163" s="104"/>
      <c r="AC1163" s="104"/>
      <c r="AD1163" s="104"/>
    </row>
    <row r="1164" spans="1:30" ht="12.75">
      <c r="A1164" s="104"/>
      <c r="B1164" s="104"/>
      <c r="C1164" s="104"/>
      <c r="D1164" s="104"/>
      <c r="E1164" s="104"/>
      <c r="F1164" s="193"/>
      <c r="G1164" s="104"/>
      <c r="H1164" s="104"/>
      <c r="I1164" s="104"/>
      <c r="J1164" s="104"/>
      <c r="K1164" s="104"/>
      <c r="L1164" s="104"/>
      <c r="M1164" s="104"/>
      <c r="N1164" s="104"/>
      <c r="O1164" s="104"/>
      <c r="P1164" s="104"/>
      <c r="Q1164" s="104"/>
      <c r="R1164" s="104"/>
      <c r="S1164" s="104"/>
      <c r="T1164" s="104"/>
      <c r="U1164" s="104"/>
      <c r="V1164" s="104"/>
      <c r="W1164" s="104"/>
      <c r="X1164" s="104"/>
      <c r="Y1164" s="104"/>
      <c r="Z1164" s="104"/>
      <c r="AA1164" s="104"/>
      <c r="AB1164" s="104"/>
      <c r="AC1164" s="104"/>
      <c r="AD1164" s="104"/>
    </row>
    <row r="1165" spans="1:30" ht="12.75">
      <c r="A1165" s="104"/>
      <c r="B1165" s="104"/>
      <c r="C1165" s="104"/>
      <c r="D1165" s="104"/>
      <c r="E1165" s="104"/>
      <c r="F1165" s="193"/>
      <c r="G1165" s="104"/>
      <c r="H1165" s="104"/>
      <c r="I1165" s="104"/>
      <c r="J1165" s="104"/>
      <c r="K1165" s="104"/>
      <c r="L1165" s="104"/>
      <c r="M1165" s="104"/>
      <c r="N1165" s="104"/>
      <c r="O1165" s="104"/>
      <c r="P1165" s="104"/>
      <c r="Q1165" s="104"/>
      <c r="R1165" s="104"/>
      <c r="S1165" s="104"/>
      <c r="T1165" s="104"/>
      <c r="U1165" s="104"/>
      <c r="V1165" s="104"/>
      <c r="W1165" s="104"/>
      <c r="X1165" s="104"/>
      <c r="Y1165" s="104"/>
      <c r="Z1165" s="104"/>
      <c r="AA1165" s="104"/>
      <c r="AB1165" s="104"/>
      <c r="AC1165" s="104"/>
      <c r="AD1165" s="104"/>
    </row>
    <row r="1166" spans="1:30" ht="12.75">
      <c r="A1166" s="104"/>
      <c r="B1166" s="104"/>
      <c r="C1166" s="104"/>
      <c r="D1166" s="104"/>
      <c r="E1166" s="104"/>
      <c r="F1166" s="193"/>
      <c r="G1166" s="104"/>
      <c r="H1166" s="104"/>
      <c r="I1166" s="104"/>
      <c r="J1166" s="104"/>
      <c r="K1166" s="104"/>
      <c r="L1166" s="104"/>
      <c r="M1166" s="104"/>
      <c r="N1166" s="104"/>
      <c r="O1166" s="104"/>
      <c r="P1166" s="104"/>
      <c r="Q1166" s="104"/>
      <c r="R1166" s="104"/>
      <c r="S1166" s="104"/>
      <c r="T1166" s="104"/>
      <c r="U1166" s="104"/>
      <c r="V1166" s="104"/>
      <c r="W1166" s="104"/>
      <c r="X1166" s="104"/>
      <c r="Y1166" s="104"/>
      <c r="Z1166" s="104"/>
      <c r="AA1166" s="104"/>
      <c r="AB1166" s="104"/>
      <c r="AC1166" s="104"/>
      <c r="AD1166" s="104"/>
    </row>
    <row r="1167" spans="1:30" ht="12.75">
      <c r="A1167" s="104"/>
      <c r="B1167" s="104"/>
      <c r="C1167" s="104"/>
      <c r="D1167" s="104"/>
      <c r="E1167" s="104"/>
      <c r="F1167" s="193"/>
      <c r="G1167" s="104"/>
      <c r="H1167" s="104"/>
      <c r="I1167" s="104"/>
      <c r="J1167" s="104"/>
      <c r="K1167" s="104"/>
      <c r="L1167" s="104"/>
      <c r="M1167" s="104"/>
      <c r="N1167" s="104"/>
      <c r="O1167" s="104"/>
      <c r="P1167" s="104"/>
      <c r="Q1167" s="104"/>
      <c r="R1167" s="104"/>
      <c r="S1167" s="104"/>
      <c r="T1167" s="104"/>
      <c r="U1167" s="104"/>
      <c r="V1167" s="104"/>
      <c r="W1167" s="104"/>
      <c r="X1167" s="104"/>
      <c r="Y1167" s="104"/>
      <c r="Z1167" s="104"/>
      <c r="AA1167" s="104"/>
      <c r="AB1167" s="104"/>
      <c r="AC1167" s="104"/>
      <c r="AD1167" s="104"/>
    </row>
    <row r="1168" spans="1:30" ht="12.75">
      <c r="A1168" s="104"/>
      <c r="B1168" s="104"/>
      <c r="C1168" s="104"/>
      <c r="D1168" s="104"/>
      <c r="E1168" s="104"/>
      <c r="F1168" s="193"/>
      <c r="G1168" s="104"/>
      <c r="H1168" s="104"/>
      <c r="I1168" s="104"/>
      <c r="J1168" s="104"/>
      <c r="K1168" s="104"/>
      <c r="L1168" s="104"/>
      <c r="M1168" s="104"/>
      <c r="N1168" s="104"/>
      <c r="O1168" s="104"/>
      <c r="P1168" s="104"/>
      <c r="Q1168" s="104"/>
      <c r="R1168" s="104"/>
      <c r="S1168" s="104"/>
      <c r="T1168" s="104"/>
      <c r="U1168" s="104"/>
      <c r="V1168" s="104"/>
      <c r="W1168" s="104"/>
      <c r="X1168" s="104"/>
      <c r="Y1168" s="104"/>
      <c r="Z1168" s="104"/>
      <c r="AA1168" s="104"/>
      <c r="AB1168" s="104"/>
      <c r="AC1168" s="104"/>
      <c r="AD1168" s="104"/>
    </row>
    <row r="1169" spans="1:30" ht="12.75">
      <c r="A1169" s="104"/>
      <c r="B1169" s="104"/>
      <c r="C1169" s="104"/>
      <c r="D1169" s="104"/>
      <c r="E1169" s="104"/>
      <c r="F1169" s="193"/>
      <c r="G1169" s="104"/>
      <c r="H1169" s="104"/>
      <c r="I1169" s="104"/>
      <c r="J1169" s="104"/>
      <c r="K1169" s="104"/>
      <c r="L1169" s="104"/>
      <c r="M1169" s="104"/>
      <c r="N1169" s="104"/>
      <c r="O1169" s="104"/>
      <c r="P1169" s="104"/>
      <c r="Q1169" s="104"/>
      <c r="R1169" s="104"/>
      <c r="S1169" s="104"/>
      <c r="T1169" s="104"/>
      <c r="U1169" s="104"/>
      <c r="V1169" s="104"/>
      <c r="W1169" s="104"/>
      <c r="X1169" s="104"/>
      <c r="Y1169" s="104"/>
      <c r="Z1169" s="104"/>
      <c r="AA1169" s="104"/>
      <c r="AB1169" s="104"/>
      <c r="AC1169" s="104"/>
      <c r="AD1169" s="104"/>
    </row>
    <row r="1170" spans="1:30" ht="12.75">
      <c r="A1170" s="104"/>
      <c r="B1170" s="104"/>
      <c r="C1170" s="104"/>
      <c r="D1170" s="104"/>
      <c r="E1170" s="104"/>
      <c r="F1170" s="193"/>
      <c r="G1170" s="104"/>
      <c r="H1170" s="104"/>
      <c r="I1170" s="104"/>
      <c r="J1170" s="104"/>
      <c r="K1170" s="104"/>
      <c r="L1170" s="104"/>
      <c r="M1170" s="104"/>
      <c r="N1170" s="104"/>
      <c r="O1170" s="104"/>
      <c r="P1170" s="104"/>
      <c r="Q1170" s="104"/>
      <c r="R1170" s="104"/>
      <c r="S1170" s="104"/>
      <c r="T1170" s="104"/>
      <c r="U1170" s="104"/>
      <c r="V1170" s="104"/>
      <c r="W1170" s="104"/>
      <c r="X1170" s="104"/>
      <c r="Y1170" s="104"/>
      <c r="Z1170" s="104"/>
      <c r="AA1170" s="104"/>
      <c r="AB1170" s="104"/>
      <c r="AC1170" s="104"/>
      <c r="AD1170" s="104"/>
    </row>
    <row r="1171" spans="1:30" ht="12.75">
      <c r="A1171" s="104"/>
      <c r="B1171" s="104"/>
      <c r="C1171" s="104"/>
      <c r="D1171" s="104"/>
      <c r="E1171" s="104"/>
      <c r="F1171" s="193"/>
      <c r="G1171" s="104"/>
      <c r="H1171" s="104"/>
      <c r="I1171" s="104"/>
      <c r="J1171" s="104"/>
      <c r="K1171" s="104"/>
      <c r="L1171" s="104"/>
      <c r="M1171" s="104"/>
      <c r="N1171" s="104"/>
      <c r="O1171" s="104"/>
      <c r="P1171" s="104"/>
      <c r="Q1171" s="104"/>
      <c r="R1171" s="104"/>
      <c r="S1171" s="104"/>
      <c r="T1171" s="104"/>
      <c r="U1171" s="104"/>
      <c r="V1171" s="104"/>
      <c r="W1171" s="104"/>
      <c r="X1171" s="104"/>
      <c r="Y1171" s="104"/>
      <c r="Z1171" s="104"/>
      <c r="AA1171" s="104"/>
      <c r="AB1171" s="104"/>
      <c r="AC1171" s="104"/>
      <c r="AD1171" s="104"/>
    </row>
    <row r="1172" spans="1:30" ht="12.75">
      <c r="A1172" s="104"/>
      <c r="B1172" s="104"/>
      <c r="C1172" s="104"/>
      <c r="D1172" s="104"/>
      <c r="E1172" s="104"/>
      <c r="F1172" s="193"/>
      <c r="G1172" s="104"/>
      <c r="H1172" s="104"/>
      <c r="I1172" s="104"/>
      <c r="J1172" s="104"/>
      <c r="K1172" s="104"/>
      <c r="L1172" s="104"/>
      <c r="M1172" s="104"/>
      <c r="N1172" s="104"/>
      <c r="O1172" s="104"/>
      <c r="P1172" s="104"/>
      <c r="Q1172" s="104"/>
      <c r="R1172" s="104"/>
      <c r="S1172" s="104"/>
      <c r="T1172" s="104"/>
      <c r="U1172" s="104"/>
      <c r="V1172" s="104"/>
      <c r="W1172" s="104"/>
      <c r="X1172" s="104"/>
      <c r="Y1172" s="104"/>
      <c r="Z1172" s="104"/>
      <c r="AA1172" s="104"/>
      <c r="AB1172" s="104"/>
      <c r="AC1172" s="104"/>
      <c r="AD1172" s="104"/>
    </row>
    <row r="1173" spans="1:30" ht="12.75">
      <c r="A1173" s="104"/>
      <c r="B1173" s="104"/>
      <c r="C1173" s="104"/>
      <c r="D1173" s="104"/>
      <c r="E1173" s="104"/>
      <c r="F1173" s="193"/>
      <c r="G1173" s="104"/>
      <c r="H1173" s="104"/>
      <c r="I1173" s="104"/>
      <c r="J1173" s="104"/>
      <c r="K1173" s="104"/>
      <c r="L1173" s="104"/>
      <c r="M1173" s="104"/>
      <c r="N1173" s="104"/>
      <c r="O1173" s="104"/>
      <c r="P1173" s="104"/>
      <c r="Q1173" s="104"/>
      <c r="R1173" s="104"/>
      <c r="S1173" s="104"/>
      <c r="T1173" s="104"/>
      <c r="U1173" s="104"/>
      <c r="V1173" s="104"/>
      <c r="W1173" s="104"/>
      <c r="X1173" s="104"/>
      <c r="Y1173" s="104"/>
      <c r="Z1173" s="104"/>
      <c r="AA1173" s="104"/>
      <c r="AB1173" s="104"/>
      <c r="AC1173" s="104"/>
      <c r="AD1173" s="104"/>
    </row>
    <row r="1174" spans="1:30" ht="12.75">
      <c r="A1174" s="104"/>
      <c r="B1174" s="104"/>
      <c r="C1174" s="104"/>
      <c r="D1174" s="104"/>
      <c r="E1174" s="104"/>
      <c r="F1174" s="193"/>
      <c r="G1174" s="104"/>
      <c r="H1174" s="104"/>
      <c r="I1174" s="104"/>
      <c r="J1174" s="104"/>
      <c r="K1174" s="104"/>
      <c r="L1174" s="104"/>
      <c r="M1174" s="104"/>
      <c r="N1174" s="104"/>
      <c r="O1174" s="104"/>
      <c r="P1174" s="104"/>
      <c r="Q1174" s="104"/>
      <c r="R1174" s="104"/>
      <c r="S1174" s="104"/>
      <c r="T1174" s="104"/>
      <c r="U1174" s="104"/>
      <c r="V1174" s="104"/>
      <c r="W1174" s="104"/>
      <c r="X1174" s="104"/>
      <c r="Y1174" s="104"/>
      <c r="Z1174" s="104"/>
      <c r="AA1174" s="104"/>
      <c r="AB1174" s="104"/>
      <c r="AC1174" s="104"/>
      <c r="AD1174" s="104"/>
    </row>
    <row r="1175" spans="1:30" ht="12.75">
      <c r="A1175" s="104"/>
      <c r="B1175" s="104"/>
      <c r="C1175" s="104"/>
      <c r="D1175" s="104"/>
      <c r="E1175" s="104"/>
      <c r="F1175" s="193"/>
      <c r="G1175" s="104"/>
      <c r="H1175" s="104"/>
      <c r="I1175" s="104"/>
      <c r="J1175" s="104"/>
      <c r="K1175" s="104"/>
      <c r="L1175" s="104"/>
      <c r="M1175" s="104"/>
      <c r="N1175" s="104"/>
      <c r="O1175" s="104"/>
      <c r="P1175" s="104"/>
      <c r="Q1175" s="104"/>
      <c r="R1175" s="104"/>
      <c r="S1175" s="104"/>
      <c r="T1175" s="104"/>
      <c r="U1175" s="104"/>
      <c r="V1175" s="104"/>
      <c r="W1175" s="104"/>
      <c r="X1175" s="104"/>
      <c r="Y1175" s="104"/>
      <c r="Z1175" s="104"/>
      <c r="AA1175" s="104"/>
      <c r="AB1175" s="104"/>
      <c r="AC1175" s="104"/>
      <c r="AD1175" s="104"/>
    </row>
    <row r="1176" spans="1:30" ht="12.75">
      <c r="A1176" s="104"/>
      <c r="B1176" s="104"/>
      <c r="C1176" s="104"/>
      <c r="D1176" s="104"/>
      <c r="E1176" s="104"/>
      <c r="F1176" s="193"/>
      <c r="G1176" s="104"/>
      <c r="H1176" s="104"/>
      <c r="I1176" s="104"/>
      <c r="J1176" s="104"/>
      <c r="K1176" s="104"/>
      <c r="L1176" s="104"/>
      <c r="M1176" s="104"/>
      <c r="N1176" s="104"/>
      <c r="O1176" s="104"/>
      <c r="P1176" s="104"/>
      <c r="Q1176" s="104"/>
      <c r="R1176" s="104"/>
      <c r="S1176" s="104"/>
      <c r="T1176" s="104"/>
      <c r="U1176" s="104"/>
      <c r="V1176" s="104"/>
      <c r="W1176" s="104"/>
      <c r="X1176" s="104"/>
      <c r="Y1176" s="104"/>
      <c r="Z1176" s="104"/>
      <c r="AA1176" s="104"/>
      <c r="AB1176" s="104"/>
      <c r="AC1176" s="104"/>
      <c r="AD1176" s="104"/>
    </row>
    <row r="1177" spans="1:30" ht="12.75">
      <c r="A1177" s="104"/>
      <c r="B1177" s="104"/>
      <c r="C1177" s="104"/>
      <c r="D1177" s="104"/>
      <c r="E1177" s="104"/>
      <c r="F1177" s="193"/>
      <c r="G1177" s="104"/>
      <c r="H1177" s="104"/>
      <c r="I1177" s="104"/>
      <c r="J1177" s="104"/>
      <c r="K1177" s="104"/>
      <c r="L1177" s="104"/>
      <c r="M1177" s="104"/>
      <c r="N1177" s="104"/>
      <c r="O1177" s="104"/>
      <c r="P1177" s="104"/>
      <c r="Q1177" s="104"/>
      <c r="R1177" s="104"/>
      <c r="S1177" s="104"/>
      <c r="T1177" s="104"/>
      <c r="U1177" s="104"/>
      <c r="V1177" s="104"/>
      <c r="W1177" s="104"/>
      <c r="X1177" s="104"/>
      <c r="Y1177" s="104"/>
      <c r="Z1177" s="104"/>
      <c r="AA1177" s="104"/>
      <c r="AB1177" s="104"/>
      <c r="AC1177" s="104"/>
      <c r="AD1177" s="104"/>
    </row>
    <row r="1178" spans="1:30" ht="12.75">
      <c r="A1178" s="104"/>
      <c r="B1178" s="104"/>
      <c r="C1178" s="104"/>
      <c r="D1178" s="104"/>
      <c r="E1178" s="104"/>
      <c r="F1178" s="193"/>
      <c r="G1178" s="104"/>
      <c r="H1178" s="104"/>
      <c r="I1178" s="104"/>
      <c r="J1178" s="104"/>
      <c r="K1178" s="104"/>
      <c r="L1178" s="104"/>
      <c r="M1178" s="104"/>
      <c r="N1178" s="104"/>
      <c r="O1178" s="104"/>
      <c r="P1178" s="104"/>
      <c r="Q1178" s="104"/>
      <c r="R1178" s="104"/>
      <c r="S1178" s="104"/>
      <c r="T1178" s="104"/>
      <c r="U1178" s="104"/>
      <c r="V1178" s="104"/>
      <c r="W1178" s="104"/>
      <c r="X1178" s="104"/>
      <c r="Y1178" s="104"/>
      <c r="Z1178" s="104"/>
      <c r="AA1178" s="104"/>
      <c r="AB1178" s="104"/>
      <c r="AC1178" s="104"/>
      <c r="AD1178" s="104"/>
    </row>
    <row r="1179" spans="1:30" ht="12.75">
      <c r="A1179" s="104"/>
      <c r="B1179" s="104"/>
      <c r="C1179" s="104"/>
      <c r="D1179" s="104"/>
      <c r="E1179" s="104"/>
      <c r="F1179" s="193"/>
      <c r="G1179" s="104"/>
      <c r="H1179" s="104"/>
      <c r="I1179" s="104"/>
      <c r="J1179" s="104"/>
      <c r="K1179" s="104"/>
      <c r="L1179" s="104"/>
      <c r="M1179" s="104"/>
      <c r="N1179" s="104"/>
      <c r="O1179" s="104"/>
      <c r="P1179" s="104"/>
      <c r="Q1179" s="104"/>
      <c r="R1179" s="104"/>
      <c r="S1179" s="104"/>
      <c r="T1179" s="104"/>
      <c r="U1179" s="104"/>
      <c r="V1179" s="104"/>
      <c r="W1179" s="104"/>
      <c r="X1179" s="104"/>
      <c r="Y1179" s="104"/>
      <c r="Z1179" s="104"/>
      <c r="AA1179" s="104"/>
      <c r="AB1179" s="104"/>
      <c r="AC1179" s="104"/>
      <c r="AD1179" s="104"/>
    </row>
    <row r="1180" spans="1:30" ht="12.75">
      <c r="A1180" s="104"/>
      <c r="B1180" s="104"/>
      <c r="C1180" s="104"/>
      <c r="D1180" s="104"/>
      <c r="E1180" s="104"/>
      <c r="F1180" s="193"/>
      <c r="G1180" s="104"/>
      <c r="H1180" s="104"/>
      <c r="I1180" s="104"/>
      <c r="J1180" s="104"/>
      <c r="K1180" s="104"/>
      <c r="L1180" s="104"/>
      <c r="M1180" s="104"/>
      <c r="N1180" s="104"/>
      <c r="O1180" s="104"/>
      <c r="P1180" s="104"/>
      <c r="Q1180" s="104"/>
      <c r="R1180" s="104"/>
      <c r="S1180" s="104"/>
      <c r="T1180" s="104"/>
      <c r="U1180" s="104"/>
      <c r="V1180" s="104"/>
      <c r="W1180" s="104"/>
      <c r="X1180" s="104"/>
      <c r="Y1180" s="104"/>
      <c r="Z1180" s="104"/>
      <c r="AA1180" s="104"/>
      <c r="AB1180" s="104"/>
      <c r="AC1180" s="104"/>
      <c r="AD1180" s="104"/>
    </row>
    <row r="1181" spans="1:30" ht="12.75">
      <c r="A1181" s="104"/>
      <c r="B1181" s="104"/>
      <c r="C1181" s="104"/>
      <c r="D1181" s="104"/>
      <c r="E1181" s="104"/>
      <c r="F1181" s="193"/>
      <c r="G1181" s="104"/>
      <c r="H1181" s="104"/>
      <c r="I1181" s="104"/>
      <c r="J1181" s="104"/>
      <c r="K1181" s="104"/>
      <c r="L1181" s="104"/>
      <c r="M1181" s="104"/>
      <c r="N1181" s="104"/>
      <c r="O1181" s="104"/>
      <c r="P1181" s="104"/>
      <c r="Q1181" s="104"/>
      <c r="R1181" s="104"/>
      <c r="S1181" s="104"/>
      <c r="T1181" s="104"/>
      <c r="U1181" s="104"/>
      <c r="V1181" s="104"/>
      <c r="W1181" s="104"/>
      <c r="X1181" s="104"/>
      <c r="Y1181" s="104"/>
      <c r="Z1181" s="104"/>
      <c r="AA1181" s="104"/>
      <c r="AB1181" s="104"/>
      <c r="AC1181" s="104"/>
      <c r="AD1181" s="104"/>
    </row>
    <row r="1182" spans="1:30" ht="12.75">
      <c r="A1182" s="104"/>
      <c r="B1182" s="104"/>
      <c r="C1182" s="104"/>
      <c r="D1182" s="104"/>
      <c r="E1182" s="104"/>
      <c r="F1182" s="193"/>
      <c r="G1182" s="104"/>
      <c r="H1182" s="104"/>
      <c r="I1182" s="104"/>
      <c r="J1182" s="104"/>
      <c r="K1182" s="104"/>
      <c r="L1182" s="104"/>
      <c r="M1182" s="104"/>
      <c r="N1182" s="104"/>
      <c r="O1182" s="104"/>
      <c r="P1182" s="104"/>
      <c r="Q1182" s="104"/>
      <c r="R1182" s="104"/>
      <c r="S1182" s="104"/>
      <c r="T1182" s="104"/>
      <c r="U1182" s="104"/>
      <c r="V1182" s="104"/>
      <c r="W1182" s="104"/>
      <c r="X1182" s="104"/>
      <c r="Y1182" s="104"/>
      <c r="Z1182" s="104"/>
      <c r="AA1182" s="104"/>
      <c r="AB1182" s="104"/>
      <c r="AC1182" s="104"/>
      <c r="AD1182" s="104"/>
    </row>
    <row r="1183" spans="1:30" ht="12.75">
      <c r="A1183" s="104"/>
      <c r="B1183" s="104"/>
      <c r="C1183" s="104"/>
      <c r="D1183" s="104"/>
      <c r="E1183" s="104"/>
      <c r="F1183" s="193"/>
      <c r="G1183" s="104"/>
      <c r="H1183" s="104"/>
      <c r="I1183" s="104"/>
      <c r="J1183" s="104"/>
      <c r="K1183" s="104"/>
      <c r="L1183" s="104"/>
      <c r="M1183" s="104"/>
      <c r="N1183" s="104"/>
      <c r="O1183" s="104"/>
      <c r="P1183" s="104"/>
      <c r="Q1183" s="104"/>
      <c r="R1183" s="104"/>
      <c r="S1183" s="104"/>
      <c r="T1183" s="104"/>
      <c r="U1183" s="104"/>
      <c r="V1183" s="104"/>
      <c r="W1183" s="104"/>
      <c r="X1183" s="104"/>
      <c r="Y1183" s="104"/>
      <c r="Z1183" s="104"/>
      <c r="AA1183" s="104"/>
      <c r="AB1183" s="104"/>
      <c r="AC1183" s="104"/>
      <c r="AD1183" s="104"/>
    </row>
    <row r="1184" spans="1:30" ht="12.75">
      <c r="A1184" s="104"/>
      <c r="B1184" s="104"/>
      <c r="C1184" s="104"/>
      <c r="D1184" s="104"/>
      <c r="E1184" s="104"/>
      <c r="F1184" s="193"/>
      <c r="G1184" s="104"/>
      <c r="H1184" s="104"/>
      <c r="I1184" s="104"/>
      <c r="J1184" s="104"/>
      <c r="K1184" s="104"/>
      <c r="L1184" s="104"/>
      <c r="M1184" s="104"/>
      <c r="N1184" s="104"/>
      <c r="O1184" s="104"/>
      <c r="P1184" s="104"/>
      <c r="Q1184" s="104"/>
      <c r="R1184" s="104"/>
      <c r="S1184" s="104"/>
      <c r="T1184" s="104"/>
      <c r="U1184" s="104"/>
      <c r="V1184" s="104"/>
      <c r="W1184" s="104"/>
      <c r="X1184" s="104"/>
      <c r="Y1184" s="104"/>
      <c r="Z1184" s="104"/>
      <c r="AA1184" s="104"/>
      <c r="AB1184" s="104"/>
      <c r="AC1184" s="104"/>
      <c r="AD1184" s="104"/>
    </row>
    <row r="1185" spans="1:30" ht="12.75">
      <c r="A1185" s="104"/>
      <c r="B1185" s="104"/>
      <c r="C1185" s="104"/>
      <c r="D1185" s="104"/>
      <c r="E1185" s="104"/>
      <c r="F1185" s="193"/>
      <c r="G1185" s="104"/>
      <c r="H1185" s="104"/>
      <c r="I1185" s="104"/>
      <c r="J1185" s="104"/>
      <c r="K1185" s="104"/>
      <c r="L1185" s="104"/>
      <c r="M1185" s="104"/>
      <c r="N1185" s="104"/>
      <c r="O1185" s="104"/>
      <c r="P1185" s="104"/>
      <c r="Q1185" s="104"/>
      <c r="R1185" s="104"/>
      <c r="S1185" s="104"/>
      <c r="T1185" s="104"/>
      <c r="U1185" s="104"/>
      <c r="V1185" s="104"/>
      <c r="W1185" s="104"/>
      <c r="X1185" s="104"/>
      <c r="Y1185" s="104"/>
      <c r="Z1185" s="104"/>
      <c r="AA1185" s="104"/>
      <c r="AB1185" s="104"/>
      <c r="AC1185" s="104"/>
      <c r="AD1185" s="104"/>
    </row>
    <row r="1186" spans="1:30" ht="12.75">
      <c r="A1186" s="104"/>
      <c r="B1186" s="104"/>
      <c r="C1186" s="104"/>
      <c r="D1186" s="104"/>
      <c r="E1186" s="104"/>
      <c r="F1186" s="193"/>
      <c r="G1186" s="104"/>
      <c r="H1186" s="104"/>
      <c r="I1186" s="104"/>
      <c r="J1186" s="104"/>
      <c r="K1186" s="104"/>
      <c r="L1186" s="104"/>
      <c r="M1186" s="104"/>
      <c r="N1186" s="104"/>
      <c r="O1186" s="104"/>
      <c r="P1186" s="104"/>
      <c r="Q1186" s="104"/>
      <c r="R1186" s="104"/>
      <c r="S1186" s="104"/>
      <c r="T1186" s="104"/>
      <c r="U1186" s="104"/>
      <c r="V1186" s="104"/>
      <c r="W1186" s="104"/>
      <c r="X1186" s="104"/>
      <c r="Y1186" s="104"/>
      <c r="Z1186" s="104"/>
      <c r="AA1186" s="104"/>
      <c r="AB1186" s="104"/>
      <c r="AC1186" s="104"/>
      <c r="AD1186" s="104"/>
    </row>
    <row r="1187" spans="1:30" ht="12.75">
      <c r="A1187" s="104"/>
      <c r="B1187" s="104"/>
      <c r="C1187" s="104"/>
      <c r="D1187" s="104"/>
      <c r="E1187" s="104"/>
      <c r="F1187" s="193"/>
      <c r="G1187" s="104"/>
      <c r="H1187" s="104"/>
      <c r="I1187" s="104"/>
      <c r="J1187" s="104"/>
      <c r="K1187" s="104"/>
      <c r="L1187" s="104"/>
      <c r="M1187" s="104"/>
      <c r="N1187" s="104"/>
      <c r="O1187" s="104"/>
      <c r="P1187" s="104"/>
      <c r="Q1187" s="104"/>
      <c r="R1187" s="104"/>
      <c r="S1187" s="104"/>
      <c r="T1187" s="104"/>
      <c r="U1187" s="104"/>
      <c r="V1187" s="104"/>
      <c r="W1187" s="104"/>
      <c r="X1187" s="104"/>
      <c r="Y1187" s="104"/>
      <c r="Z1187" s="104"/>
      <c r="AA1187" s="104"/>
      <c r="AB1187" s="104"/>
      <c r="AC1187" s="104"/>
      <c r="AD1187" s="104"/>
    </row>
    <row r="1188" spans="1:30" ht="12.75">
      <c r="A1188" s="104"/>
      <c r="B1188" s="104"/>
      <c r="C1188" s="104"/>
      <c r="D1188" s="104"/>
      <c r="E1188" s="104"/>
      <c r="F1188" s="193"/>
      <c r="G1188" s="104"/>
      <c r="H1188" s="104"/>
      <c r="I1188" s="104"/>
      <c r="J1188" s="104"/>
      <c r="K1188" s="104"/>
      <c r="L1188" s="104"/>
      <c r="M1188" s="104"/>
      <c r="N1188" s="104"/>
      <c r="O1188" s="104"/>
      <c r="P1188" s="104"/>
      <c r="Q1188" s="104"/>
      <c r="R1188" s="104"/>
      <c r="S1188" s="104"/>
      <c r="T1188" s="104"/>
      <c r="U1188" s="104"/>
      <c r="V1188" s="104"/>
      <c r="W1188" s="104"/>
      <c r="X1188" s="104"/>
      <c r="Y1188" s="104"/>
      <c r="Z1188" s="104"/>
      <c r="AA1188" s="104"/>
      <c r="AB1188" s="104"/>
      <c r="AC1188" s="104"/>
      <c r="AD1188" s="104"/>
    </row>
    <row r="1189" spans="1:30" ht="12.75">
      <c r="A1189" s="104"/>
      <c r="B1189" s="104"/>
      <c r="C1189" s="104"/>
      <c r="D1189" s="104"/>
      <c r="E1189" s="104"/>
      <c r="F1189" s="193"/>
      <c r="G1189" s="104"/>
      <c r="H1189" s="104"/>
      <c r="I1189" s="104"/>
      <c r="J1189" s="104"/>
      <c r="K1189" s="104"/>
      <c r="L1189" s="104"/>
      <c r="M1189" s="104"/>
      <c r="N1189" s="104"/>
      <c r="O1189" s="104"/>
      <c r="P1189" s="104"/>
      <c r="Q1189" s="104"/>
      <c r="R1189" s="104"/>
      <c r="S1189" s="104"/>
      <c r="T1189" s="104"/>
      <c r="U1189" s="104"/>
      <c r="V1189" s="104"/>
      <c r="W1189" s="104"/>
      <c r="X1189" s="104"/>
      <c r="Y1189" s="104"/>
      <c r="Z1189" s="104"/>
      <c r="AA1189" s="104"/>
      <c r="AB1189" s="104"/>
      <c r="AC1189" s="104"/>
      <c r="AD1189" s="104"/>
    </row>
    <row r="1190" spans="1:30" ht="12.75">
      <c r="A1190" s="104"/>
      <c r="B1190" s="104"/>
      <c r="C1190" s="104"/>
      <c r="D1190" s="104"/>
      <c r="E1190" s="104"/>
      <c r="F1190" s="193"/>
      <c r="G1190" s="104"/>
      <c r="H1190" s="104"/>
      <c r="I1190" s="104"/>
      <c r="J1190" s="104"/>
      <c r="K1190" s="104"/>
      <c r="L1190" s="104"/>
      <c r="M1190" s="104"/>
      <c r="N1190" s="104"/>
      <c r="O1190" s="104"/>
      <c r="P1190" s="104"/>
      <c r="Q1190" s="104"/>
      <c r="R1190" s="104"/>
      <c r="S1190" s="104"/>
      <c r="T1190" s="104"/>
      <c r="U1190" s="104"/>
      <c r="V1190" s="104"/>
      <c r="W1190" s="104"/>
      <c r="X1190" s="104"/>
      <c r="Y1190" s="104"/>
      <c r="Z1190" s="104"/>
      <c r="AA1190" s="104"/>
      <c r="AB1190" s="104"/>
      <c r="AC1190" s="104"/>
      <c r="AD1190" s="104"/>
    </row>
    <row r="1191" spans="1:30" ht="12.75">
      <c r="A1191" s="104"/>
      <c r="B1191" s="104"/>
      <c r="C1191" s="104"/>
      <c r="D1191" s="104"/>
      <c r="E1191" s="104"/>
      <c r="F1191" s="193"/>
      <c r="G1191" s="104"/>
      <c r="H1191" s="104"/>
      <c r="I1191" s="104"/>
      <c r="J1191" s="104"/>
      <c r="K1191" s="104"/>
      <c r="L1191" s="104"/>
      <c r="M1191" s="104"/>
      <c r="N1191" s="104"/>
      <c r="O1191" s="104"/>
      <c r="P1191" s="104"/>
      <c r="Q1191" s="104"/>
      <c r="R1191" s="104"/>
      <c r="S1191" s="104"/>
      <c r="T1191" s="104"/>
      <c r="U1191" s="104"/>
      <c r="V1191" s="104"/>
      <c r="W1191" s="104"/>
      <c r="X1191" s="104"/>
      <c r="Y1191" s="104"/>
      <c r="Z1191" s="104"/>
      <c r="AA1191" s="104"/>
      <c r="AB1191" s="104"/>
      <c r="AC1191" s="104"/>
      <c r="AD1191" s="104"/>
    </row>
    <row r="1192" spans="1:30" ht="12.75">
      <c r="A1192" s="104"/>
      <c r="B1192" s="104"/>
      <c r="C1192" s="104"/>
      <c r="D1192" s="104"/>
      <c r="E1192" s="104"/>
      <c r="F1192" s="193"/>
      <c r="G1192" s="104"/>
      <c r="H1192" s="104"/>
      <c r="I1192" s="104"/>
      <c r="J1192" s="104"/>
      <c r="K1192" s="104"/>
      <c r="L1192" s="104"/>
      <c r="M1192" s="104"/>
      <c r="N1192" s="104"/>
      <c r="O1192" s="104"/>
      <c r="P1192" s="104"/>
      <c r="Q1192" s="104"/>
      <c r="R1192" s="104"/>
      <c r="S1192" s="104"/>
      <c r="T1192" s="104"/>
      <c r="U1192" s="104"/>
      <c r="V1192" s="104"/>
      <c r="W1192" s="104"/>
      <c r="X1192" s="104"/>
      <c r="Y1192" s="104"/>
      <c r="Z1192" s="104"/>
      <c r="AA1192" s="104"/>
      <c r="AB1192" s="104"/>
      <c r="AC1192" s="104"/>
      <c r="AD1192" s="104"/>
    </row>
    <row r="1193" spans="1:30" ht="12.75">
      <c r="A1193" s="104"/>
      <c r="B1193" s="104"/>
      <c r="C1193" s="104"/>
      <c r="D1193" s="104"/>
      <c r="E1193" s="104"/>
      <c r="F1193" s="193"/>
      <c r="G1193" s="104"/>
      <c r="H1193" s="104"/>
      <c r="I1193" s="104"/>
      <c r="J1193" s="104"/>
      <c r="K1193" s="104"/>
      <c r="L1193" s="104"/>
      <c r="M1193" s="104"/>
      <c r="N1193" s="104"/>
      <c r="O1193" s="104"/>
      <c r="P1193" s="104"/>
      <c r="Q1193" s="104"/>
      <c r="R1193" s="104"/>
      <c r="S1193" s="104"/>
      <c r="T1193" s="104"/>
      <c r="U1193" s="104"/>
      <c r="V1193" s="104"/>
      <c r="W1193" s="104"/>
      <c r="X1193" s="104"/>
      <c r="Y1193" s="104"/>
      <c r="Z1193" s="104"/>
      <c r="AA1193" s="104"/>
      <c r="AB1193" s="104"/>
      <c r="AC1193" s="104"/>
      <c r="AD1193" s="104"/>
    </row>
    <row r="1194" spans="1:30" ht="12.75">
      <c r="A1194" s="104"/>
      <c r="B1194" s="104"/>
      <c r="C1194" s="104"/>
      <c r="D1194" s="104"/>
      <c r="E1194" s="104"/>
      <c r="F1194" s="193"/>
      <c r="G1194" s="104"/>
      <c r="H1194" s="104"/>
      <c r="I1194" s="104"/>
      <c r="J1194" s="104"/>
      <c r="K1194" s="104"/>
      <c r="L1194" s="104"/>
      <c r="M1194" s="104"/>
      <c r="N1194" s="104"/>
      <c r="O1194" s="104"/>
      <c r="P1194" s="104"/>
      <c r="Q1194" s="104"/>
      <c r="R1194" s="104"/>
      <c r="S1194" s="104"/>
      <c r="T1194" s="104"/>
      <c r="U1194" s="104"/>
      <c r="V1194" s="104"/>
      <c r="W1194" s="104"/>
      <c r="X1194" s="104"/>
      <c r="Y1194" s="104"/>
      <c r="Z1194" s="104"/>
      <c r="AA1194" s="104"/>
      <c r="AB1194" s="104"/>
      <c r="AC1194" s="104"/>
      <c r="AD1194" s="104"/>
    </row>
    <row r="1195" spans="1:30" ht="12.75">
      <c r="A1195" s="104"/>
      <c r="B1195" s="104"/>
      <c r="C1195" s="104"/>
      <c r="D1195" s="104"/>
      <c r="E1195" s="104"/>
      <c r="F1195" s="193"/>
      <c r="G1195" s="104"/>
      <c r="H1195" s="104"/>
      <c r="I1195" s="104"/>
      <c r="J1195" s="104"/>
      <c r="K1195" s="104"/>
      <c r="L1195" s="104"/>
      <c r="M1195" s="104"/>
      <c r="N1195" s="104"/>
      <c r="O1195" s="104"/>
      <c r="P1195" s="104"/>
      <c r="Q1195" s="104"/>
      <c r="R1195" s="104"/>
      <c r="S1195" s="104"/>
      <c r="T1195" s="104"/>
      <c r="U1195" s="104"/>
      <c r="V1195" s="104"/>
      <c r="W1195" s="104"/>
      <c r="X1195" s="104"/>
      <c r="Y1195" s="104"/>
      <c r="Z1195" s="104"/>
      <c r="AA1195" s="104"/>
      <c r="AB1195" s="104"/>
      <c r="AC1195" s="104"/>
      <c r="AD1195" s="104"/>
    </row>
    <row r="1196" spans="1:30" ht="12.75">
      <c r="A1196" s="104"/>
      <c r="B1196" s="104"/>
      <c r="C1196" s="104"/>
      <c r="D1196" s="104"/>
      <c r="E1196" s="104"/>
      <c r="F1196" s="193"/>
      <c r="G1196" s="104"/>
      <c r="H1196" s="104"/>
      <c r="I1196" s="104"/>
      <c r="J1196" s="104"/>
      <c r="K1196" s="104"/>
      <c r="L1196" s="104"/>
      <c r="M1196" s="104"/>
      <c r="N1196" s="104"/>
      <c r="O1196" s="104"/>
      <c r="P1196" s="104"/>
      <c r="Q1196" s="104"/>
      <c r="R1196" s="104"/>
      <c r="S1196" s="104"/>
      <c r="T1196" s="104"/>
      <c r="U1196" s="104"/>
      <c r="V1196" s="104"/>
      <c r="W1196" s="104"/>
      <c r="X1196" s="104"/>
      <c r="Y1196" s="104"/>
      <c r="Z1196" s="104"/>
      <c r="AA1196" s="104"/>
      <c r="AB1196" s="104"/>
      <c r="AC1196" s="104"/>
      <c r="AD1196" s="104"/>
    </row>
    <row r="1197" spans="1:30" ht="12.75">
      <c r="A1197" s="104"/>
      <c r="B1197" s="104"/>
      <c r="C1197" s="104"/>
      <c r="D1197" s="104"/>
      <c r="E1197" s="104"/>
      <c r="F1197" s="193"/>
      <c r="G1197" s="104"/>
      <c r="H1197" s="104"/>
      <c r="I1197" s="104"/>
      <c r="J1197" s="104"/>
      <c r="K1197" s="104"/>
      <c r="L1197" s="104"/>
      <c r="M1197" s="104"/>
      <c r="N1197" s="104"/>
      <c r="O1197" s="104"/>
      <c r="P1197" s="104"/>
      <c r="Q1197" s="104"/>
      <c r="R1197" s="104"/>
      <c r="S1197" s="104"/>
      <c r="T1197" s="104"/>
      <c r="U1197" s="104"/>
      <c r="V1197" s="104"/>
      <c r="W1197" s="104"/>
      <c r="X1197" s="104"/>
      <c r="Y1197" s="104"/>
      <c r="Z1197" s="104"/>
      <c r="AA1197" s="104"/>
      <c r="AB1197" s="104"/>
      <c r="AC1197" s="104"/>
      <c r="AD1197" s="104"/>
    </row>
    <row r="1198" spans="1:30" ht="12.75">
      <c r="A1198" s="104"/>
      <c r="B1198" s="104"/>
      <c r="C1198" s="104"/>
      <c r="D1198" s="104"/>
      <c r="E1198" s="104"/>
      <c r="F1198" s="193"/>
      <c r="G1198" s="104"/>
      <c r="H1198" s="104"/>
      <c r="I1198" s="104"/>
      <c r="J1198" s="104"/>
      <c r="K1198" s="104"/>
      <c r="L1198" s="104"/>
      <c r="M1198" s="104"/>
      <c r="N1198" s="104"/>
      <c r="O1198" s="104"/>
      <c r="P1198" s="104"/>
      <c r="Q1198" s="104"/>
      <c r="R1198" s="104"/>
      <c r="S1198" s="104"/>
      <c r="T1198" s="104"/>
      <c r="U1198" s="104"/>
      <c r="V1198" s="104"/>
      <c r="W1198" s="104"/>
      <c r="X1198" s="104"/>
      <c r="Y1198" s="104"/>
      <c r="Z1198" s="104"/>
      <c r="AA1198" s="104"/>
      <c r="AB1198" s="104"/>
      <c r="AC1198" s="104"/>
      <c r="AD1198" s="104"/>
    </row>
    <row r="1199" spans="1:30" ht="12.75">
      <c r="A1199" s="104"/>
      <c r="B1199" s="104"/>
      <c r="C1199" s="104"/>
      <c r="D1199" s="104"/>
      <c r="E1199" s="104"/>
      <c r="F1199" s="193"/>
      <c r="G1199" s="104"/>
      <c r="H1199" s="104"/>
      <c r="I1199" s="104"/>
      <c r="J1199" s="104"/>
      <c r="K1199" s="104"/>
      <c r="L1199" s="104"/>
      <c r="M1199" s="104"/>
      <c r="N1199" s="104"/>
      <c r="O1199" s="104"/>
      <c r="P1199" s="104"/>
      <c r="Q1199" s="104"/>
      <c r="R1199" s="104"/>
      <c r="S1199" s="104"/>
      <c r="T1199" s="104"/>
      <c r="U1199" s="104"/>
      <c r="V1199" s="104"/>
      <c r="W1199" s="104"/>
      <c r="X1199" s="104"/>
      <c r="Y1199" s="104"/>
      <c r="Z1199" s="104"/>
      <c r="AA1199" s="104"/>
      <c r="AB1199" s="104"/>
      <c r="AC1199" s="104"/>
      <c r="AD1199" s="104"/>
    </row>
    <row r="1200" spans="1:30" ht="12.75">
      <c r="A1200" s="104"/>
      <c r="B1200" s="104"/>
      <c r="C1200" s="104"/>
      <c r="D1200" s="104"/>
      <c r="E1200" s="104"/>
      <c r="F1200" s="193"/>
      <c r="G1200" s="104"/>
      <c r="H1200" s="104"/>
      <c r="I1200" s="104"/>
      <c r="J1200" s="104"/>
      <c r="K1200" s="104"/>
      <c r="L1200" s="104"/>
      <c r="M1200" s="104"/>
      <c r="N1200" s="104"/>
      <c r="O1200" s="104"/>
      <c r="P1200" s="104"/>
      <c r="Q1200" s="104"/>
      <c r="R1200" s="104"/>
      <c r="S1200" s="104"/>
      <c r="T1200" s="104"/>
      <c r="U1200" s="104"/>
      <c r="V1200" s="104"/>
      <c r="W1200" s="104"/>
      <c r="X1200" s="104"/>
      <c r="Y1200" s="104"/>
      <c r="Z1200" s="104"/>
      <c r="AA1200" s="104"/>
      <c r="AB1200" s="104"/>
      <c r="AC1200" s="104"/>
      <c r="AD1200" s="104"/>
    </row>
    <row r="1201" spans="1:30" ht="12.75">
      <c r="A1201" s="104"/>
      <c r="B1201" s="104"/>
      <c r="C1201" s="104"/>
      <c r="D1201" s="104"/>
      <c r="E1201" s="104"/>
      <c r="F1201" s="193"/>
      <c r="G1201" s="104"/>
      <c r="H1201" s="104"/>
      <c r="I1201" s="104"/>
      <c r="J1201" s="104"/>
      <c r="K1201" s="104"/>
      <c r="L1201" s="104"/>
      <c r="M1201" s="104"/>
      <c r="N1201" s="104"/>
      <c r="O1201" s="104"/>
      <c r="P1201" s="104"/>
      <c r="Q1201" s="104"/>
      <c r="R1201" s="104"/>
      <c r="S1201" s="104"/>
      <c r="T1201" s="104"/>
      <c r="U1201" s="104"/>
      <c r="V1201" s="104"/>
      <c r="W1201" s="104"/>
      <c r="X1201" s="104"/>
      <c r="Y1201" s="104"/>
      <c r="Z1201" s="104"/>
      <c r="AA1201" s="104"/>
      <c r="AB1201" s="104"/>
      <c r="AC1201" s="104"/>
      <c r="AD1201" s="104"/>
    </row>
    <row r="1202" spans="1:30" ht="12.75">
      <c r="A1202" s="104"/>
      <c r="B1202" s="104"/>
      <c r="C1202" s="104"/>
      <c r="D1202" s="104"/>
      <c r="E1202" s="104"/>
      <c r="F1202" s="193"/>
      <c r="G1202" s="104"/>
      <c r="H1202" s="104"/>
      <c r="I1202" s="104"/>
      <c r="J1202" s="104"/>
      <c r="K1202" s="104"/>
      <c r="L1202" s="104"/>
      <c r="M1202" s="104"/>
      <c r="N1202" s="104"/>
      <c r="O1202" s="104"/>
      <c r="P1202" s="104"/>
      <c r="Q1202" s="104"/>
      <c r="R1202" s="104"/>
      <c r="S1202" s="104"/>
      <c r="T1202" s="104"/>
      <c r="U1202" s="104"/>
      <c r="V1202" s="104"/>
      <c r="W1202" s="104"/>
      <c r="X1202" s="104"/>
      <c r="Y1202" s="104"/>
      <c r="Z1202" s="104"/>
      <c r="AA1202" s="104"/>
      <c r="AB1202" s="104"/>
      <c r="AC1202" s="104"/>
      <c r="AD1202" s="104"/>
    </row>
    <row r="1203" spans="1:30" ht="12.75">
      <c r="A1203" s="104"/>
      <c r="B1203" s="104"/>
      <c r="C1203" s="104"/>
      <c r="D1203" s="104"/>
      <c r="E1203" s="104"/>
      <c r="F1203" s="193"/>
      <c r="G1203" s="104"/>
      <c r="H1203" s="104"/>
      <c r="I1203" s="104"/>
      <c r="J1203" s="104"/>
      <c r="K1203" s="104"/>
      <c r="L1203" s="104"/>
      <c r="M1203" s="104"/>
      <c r="N1203" s="104"/>
      <c r="O1203" s="104"/>
      <c r="P1203" s="104"/>
      <c r="Q1203" s="104"/>
      <c r="R1203" s="104"/>
      <c r="S1203" s="104"/>
      <c r="T1203" s="104"/>
      <c r="U1203" s="104"/>
      <c r="V1203" s="104"/>
      <c r="W1203" s="104"/>
      <c r="X1203" s="104"/>
      <c r="Y1203" s="104"/>
      <c r="Z1203" s="104"/>
      <c r="AA1203" s="104"/>
      <c r="AB1203" s="104"/>
      <c r="AC1203" s="104"/>
      <c r="AD1203" s="104"/>
    </row>
    <row r="1204" spans="1:30" ht="12.75">
      <c r="A1204" s="104"/>
      <c r="B1204" s="104"/>
      <c r="C1204" s="104"/>
      <c r="D1204" s="104"/>
      <c r="E1204" s="104"/>
      <c r="F1204" s="193"/>
      <c r="G1204" s="104"/>
      <c r="H1204" s="104"/>
      <c r="I1204" s="104"/>
      <c r="J1204" s="104"/>
      <c r="K1204" s="104"/>
      <c r="L1204" s="104"/>
      <c r="M1204" s="104"/>
      <c r="N1204" s="104"/>
      <c r="O1204" s="104"/>
      <c r="P1204" s="104"/>
      <c r="Q1204" s="104"/>
      <c r="R1204" s="104"/>
      <c r="S1204" s="104"/>
      <c r="T1204" s="104"/>
      <c r="U1204" s="104"/>
      <c r="V1204" s="104"/>
      <c r="W1204" s="104"/>
      <c r="X1204" s="104"/>
      <c r="Y1204" s="104"/>
      <c r="Z1204" s="104"/>
      <c r="AA1204" s="104"/>
      <c r="AB1204" s="104"/>
      <c r="AC1204" s="104"/>
      <c r="AD1204" s="104"/>
    </row>
    <row r="1205" spans="1:30" ht="12.75">
      <c r="A1205" s="104"/>
      <c r="B1205" s="104"/>
      <c r="C1205" s="104"/>
      <c r="D1205" s="104"/>
      <c r="E1205" s="104"/>
      <c r="F1205" s="193"/>
      <c r="G1205" s="104"/>
      <c r="H1205" s="104"/>
      <c r="I1205" s="104"/>
      <c r="J1205" s="104"/>
      <c r="K1205" s="104"/>
      <c r="L1205" s="104"/>
      <c r="M1205" s="104"/>
      <c r="N1205" s="104"/>
      <c r="O1205" s="104"/>
      <c r="P1205" s="104"/>
      <c r="Q1205" s="104"/>
      <c r="R1205" s="104"/>
      <c r="S1205" s="104"/>
      <c r="T1205" s="104"/>
      <c r="U1205" s="104"/>
      <c r="V1205" s="104"/>
      <c r="W1205" s="104"/>
      <c r="X1205" s="104"/>
      <c r="Y1205" s="104"/>
      <c r="Z1205" s="104"/>
      <c r="AA1205" s="104"/>
      <c r="AB1205" s="104"/>
      <c r="AC1205" s="104"/>
      <c r="AD1205" s="104"/>
    </row>
    <row r="1206" spans="1:30" ht="12.75">
      <c r="A1206" s="104"/>
      <c r="B1206" s="104"/>
      <c r="C1206" s="104"/>
      <c r="D1206" s="104"/>
      <c r="E1206" s="104"/>
      <c r="F1206" s="193"/>
      <c r="G1206" s="104"/>
      <c r="H1206" s="104"/>
      <c r="I1206" s="104"/>
      <c r="J1206" s="104"/>
      <c r="K1206" s="104"/>
      <c r="L1206" s="104"/>
      <c r="M1206" s="104"/>
      <c r="N1206" s="104"/>
      <c r="O1206" s="104"/>
      <c r="P1206" s="104"/>
      <c r="Q1206" s="104"/>
      <c r="R1206" s="104"/>
      <c r="S1206" s="104"/>
      <c r="T1206" s="104"/>
      <c r="U1206" s="104"/>
      <c r="V1206" s="104"/>
      <c r="W1206" s="104"/>
      <c r="X1206" s="104"/>
      <c r="Y1206" s="104"/>
      <c r="Z1206" s="104"/>
      <c r="AA1206" s="104"/>
      <c r="AB1206" s="104"/>
      <c r="AC1206" s="104"/>
      <c r="AD1206" s="104"/>
    </row>
    <row r="1207" spans="1:30" ht="12.75">
      <c r="A1207" s="104"/>
      <c r="B1207" s="104"/>
      <c r="C1207" s="104"/>
      <c r="D1207" s="104"/>
      <c r="E1207" s="104"/>
      <c r="F1207" s="193"/>
      <c r="G1207" s="104"/>
      <c r="H1207" s="104"/>
      <c r="I1207" s="104"/>
      <c r="J1207" s="104"/>
      <c r="K1207" s="104"/>
      <c r="L1207" s="104"/>
      <c r="M1207" s="104"/>
      <c r="N1207" s="104"/>
      <c r="O1207" s="104"/>
      <c r="P1207" s="104"/>
      <c r="Q1207" s="104"/>
      <c r="R1207" s="104"/>
      <c r="S1207" s="104"/>
      <c r="T1207" s="104"/>
      <c r="U1207" s="104"/>
      <c r="V1207" s="104"/>
      <c r="W1207" s="104"/>
      <c r="X1207" s="104"/>
      <c r="Y1207" s="104"/>
      <c r="Z1207" s="104"/>
      <c r="AA1207" s="104"/>
      <c r="AB1207" s="104"/>
      <c r="AC1207" s="104"/>
      <c r="AD1207" s="104"/>
    </row>
    <row r="1208" spans="1:30" ht="12.75">
      <c r="A1208" s="104"/>
      <c r="B1208" s="104"/>
      <c r="C1208" s="104"/>
      <c r="D1208" s="104"/>
      <c r="E1208" s="104"/>
      <c r="F1208" s="193"/>
      <c r="G1208" s="104"/>
      <c r="H1208" s="104"/>
      <c r="I1208" s="104"/>
      <c r="J1208" s="104"/>
      <c r="K1208" s="104"/>
      <c r="L1208" s="104"/>
      <c r="M1208" s="104"/>
      <c r="N1208" s="104"/>
      <c r="O1208" s="104"/>
      <c r="P1208" s="104"/>
      <c r="Q1208" s="104"/>
      <c r="R1208" s="104"/>
      <c r="S1208" s="104"/>
      <c r="T1208" s="104"/>
      <c r="U1208" s="104"/>
      <c r="V1208" s="104"/>
      <c r="W1208" s="104"/>
      <c r="X1208" s="104"/>
      <c r="Y1208" s="104"/>
      <c r="Z1208" s="104"/>
      <c r="AA1208" s="104"/>
      <c r="AB1208" s="104"/>
      <c r="AC1208" s="104"/>
      <c r="AD1208" s="104"/>
    </row>
    <row r="1209" spans="1:30" ht="12.75">
      <c r="A1209" s="104"/>
      <c r="B1209" s="104"/>
      <c r="C1209" s="104"/>
      <c r="D1209" s="104"/>
      <c r="E1209" s="104"/>
      <c r="F1209" s="193"/>
      <c r="G1209" s="104"/>
      <c r="H1209" s="104"/>
      <c r="I1209" s="104"/>
      <c r="J1209" s="104"/>
      <c r="K1209" s="104"/>
      <c r="L1209" s="104"/>
      <c r="M1209" s="104"/>
      <c r="N1209" s="104"/>
      <c r="O1209" s="104"/>
      <c r="P1209" s="104"/>
      <c r="Q1209" s="104"/>
      <c r="R1209" s="104"/>
      <c r="S1209" s="104"/>
      <c r="T1209" s="104"/>
      <c r="U1209" s="104"/>
      <c r="V1209" s="104"/>
      <c r="W1209" s="104"/>
      <c r="X1209" s="104"/>
      <c r="Y1209" s="104"/>
      <c r="Z1209" s="104"/>
      <c r="AA1209" s="104"/>
      <c r="AB1209" s="104"/>
      <c r="AC1209" s="104"/>
      <c r="AD1209" s="104"/>
    </row>
    <row r="1210" spans="1:30" ht="12.75">
      <c r="A1210" s="104"/>
      <c r="B1210" s="104"/>
      <c r="C1210" s="104"/>
      <c r="D1210" s="104"/>
      <c r="E1210" s="104"/>
      <c r="F1210" s="193"/>
      <c r="G1210" s="104"/>
      <c r="H1210" s="104"/>
      <c r="I1210" s="104"/>
      <c r="J1210" s="104"/>
      <c r="K1210" s="104"/>
      <c r="L1210" s="104"/>
      <c r="M1210" s="104"/>
      <c r="N1210" s="104"/>
      <c r="O1210" s="104"/>
      <c r="P1210" s="104"/>
      <c r="Q1210" s="104"/>
      <c r="R1210" s="104"/>
      <c r="S1210" s="104"/>
      <c r="T1210" s="104"/>
      <c r="U1210" s="104"/>
      <c r="V1210" s="104"/>
      <c r="W1210" s="104"/>
      <c r="X1210" s="104"/>
      <c r="Y1210" s="104"/>
      <c r="Z1210" s="104"/>
      <c r="AA1210" s="104"/>
      <c r="AB1210" s="104"/>
      <c r="AC1210" s="104"/>
      <c r="AD1210" s="104"/>
    </row>
    <row r="1211" spans="1:30" ht="12.75">
      <c r="A1211" s="104"/>
      <c r="B1211" s="104"/>
      <c r="C1211" s="104"/>
      <c r="D1211" s="104"/>
      <c r="E1211" s="104"/>
      <c r="F1211" s="193"/>
      <c r="G1211" s="104"/>
      <c r="H1211" s="104"/>
      <c r="I1211" s="104"/>
      <c r="J1211" s="104"/>
      <c r="K1211" s="104"/>
      <c r="L1211" s="104"/>
      <c r="M1211" s="104"/>
      <c r="N1211" s="104"/>
      <c r="O1211" s="104"/>
      <c r="P1211" s="104"/>
      <c r="Q1211" s="104"/>
      <c r="R1211" s="104"/>
      <c r="S1211" s="104"/>
      <c r="T1211" s="104"/>
      <c r="U1211" s="104"/>
      <c r="V1211" s="104"/>
      <c r="W1211" s="104"/>
      <c r="X1211" s="104"/>
      <c r="Y1211" s="104"/>
      <c r="Z1211" s="104"/>
      <c r="AA1211" s="104"/>
      <c r="AB1211" s="104"/>
      <c r="AC1211" s="104"/>
      <c r="AD1211" s="104"/>
    </row>
    <row r="1212" spans="1:30" ht="12.75">
      <c r="A1212" s="104"/>
      <c r="B1212" s="104"/>
      <c r="C1212" s="104"/>
      <c r="D1212" s="104"/>
      <c r="E1212" s="104"/>
      <c r="F1212" s="193"/>
      <c r="G1212" s="104"/>
      <c r="H1212" s="104"/>
      <c r="I1212" s="104"/>
      <c r="J1212" s="104"/>
      <c r="K1212" s="104"/>
      <c r="L1212" s="104"/>
      <c r="M1212" s="104"/>
      <c r="N1212" s="104"/>
      <c r="O1212" s="104"/>
      <c r="P1212" s="104"/>
      <c r="Q1212" s="104"/>
      <c r="R1212" s="104"/>
      <c r="S1212" s="104"/>
      <c r="T1212" s="104"/>
      <c r="U1212" s="104"/>
      <c r="V1212" s="104"/>
      <c r="W1212" s="104"/>
      <c r="X1212" s="104"/>
      <c r="Y1212" s="104"/>
      <c r="Z1212" s="104"/>
      <c r="AA1212" s="104"/>
      <c r="AB1212" s="104"/>
      <c r="AC1212" s="104"/>
      <c r="AD1212" s="104"/>
    </row>
    <row r="1213" spans="1:30" ht="12.75">
      <c r="A1213" s="104"/>
      <c r="B1213" s="104"/>
      <c r="C1213" s="104"/>
      <c r="D1213" s="104"/>
      <c r="E1213" s="104"/>
      <c r="F1213" s="193"/>
      <c r="G1213" s="104"/>
      <c r="H1213" s="104"/>
      <c r="I1213" s="104"/>
      <c r="J1213" s="104"/>
      <c r="K1213" s="104"/>
      <c r="L1213" s="104"/>
      <c r="M1213" s="104"/>
      <c r="N1213" s="104"/>
      <c r="O1213" s="104"/>
      <c r="P1213" s="104"/>
      <c r="Q1213" s="104"/>
      <c r="R1213" s="104"/>
      <c r="S1213" s="104"/>
      <c r="T1213" s="104"/>
      <c r="U1213" s="104"/>
      <c r="V1213" s="104"/>
      <c r="W1213" s="104"/>
      <c r="X1213" s="104"/>
      <c r="Y1213" s="104"/>
      <c r="Z1213" s="104"/>
      <c r="AA1213" s="104"/>
      <c r="AB1213" s="104"/>
      <c r="AC1213" s="104"/>
      <c r="AD1213" s="104"/>
    </row>
    <row r="1214" spans="1:30" ht="12.75">
      <c r="A1214" s="104"/>
      <c r="B1214" s="104"/>
      <c r="C1214" s="104"/>
      <c r="D1214" s="104"/>
      <c r="E1214" s="104"/>
      <c r="F1214" s="193"/>
      <c r="G1214" s="104"/>
      <c r="H1214" s="104"/>
      <c r="I1214" s="104"/>
      <c r="J1214" s="104"/>
      <c r="K1214" s="104"/>
      <c r="L1214" s="104"/>
      <c r="M1214" s="104"/>
      <c r="N1214" s="104"/>
      <c r="O1214" s="104"/>
      <c r="P1214" s="104"/>
      <c r="Q1214" s="104"/>
      <c r="R1214" s="104"/>
      <c r="S1214" s="104"/>
      <c r="T1214" s="104"/>
      <c r="U1214" s="104"/>
      <c r="V1214" s="104"/>
      <c r="W1214" s="104"/>
      <c r="X1214" s="104"/>
      <c r="Y1214" s="104"/>
      <c r="Z1214" s="104"/>
      <c r="AA1214" s="104"/>
      <c r="AB1214" s="104"/>
      <c r="AC1214" s="104"/>
      <c r="AD1214" s="104"/>
    </row>
    <row r="1215" spans="1:30" ht="12.75">
      <c r="A1215" s="104"/>
      <c r="B1215" s="104"/>
      <c r="C1215" s="104"/>
      <c r="D1215" s="104"/>
      <c r="E1215" s="104"/>
      <c r="F1215" s="193"/>
      <c r="G1215" s="104"/>
      <c r="H1215" s="104"/>
      <c r="I1215" s="104"/>
      <c r="J1215" s="104"/>
      <c r="K1215" s="104"/>
      <c r="L1215" s="104"/>
      <c r="M1215" s="104"/>
      <c r="N1215" s="104"/>
      <c r="O1215" s="104"/>
      <c r="P1215" s="104"/>
      <c r="Q1215" s="104"/>
      <c r="R1215" s="104"/>
      <c r="S1215" s="104"/>
      <c r="T1215" s="104"/>
      <c r="U1215" s="104"/>
      <c r="V1215" s="104"/>
      <c r="W1215" s="104"/>
      <c r="X1215" s="104"/>
      <c r="Y1215" s="104"/>
      <c r="Z1215" s="104"/>
      <c r="AA1215" s="104"/>
      <c r="AB1215" s="104"/>
      <c r="AC1215" s="104"/>
      <c r="AD1215" s="104"/>
    </row>
    <row r="1216" spans="1:30" ht="12.75">
      <c r="A1216" s="104"/>
      <c r="B1216" s="104"/>
      <c r="C1216" s="104"/>
      <c r="D1216" s="104"/>
      <c r="E1216" s="104"/>
      <c r="F1216" s="193"/>
      <c r="G1216" s="104"/>
      <c r="H1216" s="104"/>
      <c r="I1216" s="104"/>
      <c r="J1216" s="104"/>
      <c r="K1216" s="104"/>
      <c r="L1216" s="104"/>
      <c r="M1216" s="104"/>
      <c r="N1216" s="104"/>
      <c r="O1216" s="104"/>
      <c r="P1216" s="104"/>
      <c r="Q1216" s="104"/>
      <c r="R1216" s="104"/>
      <c r="S1216" s="104"/>
      <c r="T1216" s="104"/>
      <c r="U1216" s="104"/>
      <c r="V1216" s="104"/>
      <c r="W1216" s="104"/>
      <c r="X1216" s="104"/>
      <c r="Y1216" s="104"/>
      <c r="Z1216" s="104"/>
      <c r="AA1216" s="104"/>
      <c r="AB1216" s="104"/>
      <c r="AC1216" s="104"/>
      <c r="AD1216" s="104"/>
    </row>
    <row r="1217" spans="1:30" ht="12.75">
      <c r="A1217" s="104"/>
      <c r="B1217" s="104"/>
      <c r="C1217" s="104"/>
      <c r="D1217" s="104"/>
      <c r="E1217" s="104"/>
      <c r="F1217" s="193"/>
      <c r="G1217" s="104"/>
      <c r="H1217" s="104"/>
      <c r="I1217" s="104"/>
      <c r="J1217" s="104"/>
      <c r="K1217" s="104"/>
      <c r="L1217" s="104"/>
      <c r="M1217" s="104"/>
      <c r="N1217" s="104"/>
      <c r="O1217" s="104"/>
      <c r="P1217" s="104"/>
      <c r="Q1217" s="104"/>
      <c r="R1217" s="104"/>
      <c r="S1217" s="104"/>
      <c r="T1217" s="104"/>
      <c r="U1217" s="104"/>
      <c r="V1217" s="104"/>
      <c r="W1217" s="104"/>
      <c r="X1217" s="104"/>
      <c r="Y1217" s="104"/>
      <c r="Z1217" s="104"/>
      <c r="AA1217" s="104"/>
      <c r="AB1217" s="104"/>
      <c r="AC1217" s="104"/>
      <c r="AD1217" s="104"/>
    </row>
    <row r="1218" spans="1:30" ht="12.75">
      <c r="A1218" s="104"/>
      <c r="B1218" s="104"/>
      <c r="C1218" s="104"/>
      <c r="D1218" s="104"/>
      <c r="E1218" s="104"/>
      <c r="F1218" s="193"/>
      <c r="G1218" s="104"/>
      <c r="H1218" s="104"/>
      <c r="I1218" s="104"/>
      <c r="J1218" s="104"/>
      <c r="K1218" s="104"/>
      <c r="L1218" s="104"/>
      <c r="M1218" s="104"/>
      <c r="N1218" s="104"/>
      <c r="O1218" s="104"/>
      <c r="P1218" s="104"/>
      <c r="Q1218" s="104"/>
      <c r="R1218" s="104"/>
      <c r="S1218" s="104"/>
      <c r="T1218" s="104"/>
      <c r="U1218" s="104"/>
      <c r="V1218" s="104"/>
      <c r="W1218" s="104"/>
      <c r="X1218" s="104"/>
      <c r="Y1218" s="104"/>
      <c r="Z1218" s="104"/>
      <c r="AA1218" s="104"/>
      <c r="AB1218" s="104"/>
      <c r="AC1218" s="104"/>
      <c r="AD1218" s="104"/>
    </row>
    <row r="1219" spans="1:30" ht="12.75">
      <c r="A1219" s="104"/>
      <c r="B1219" s="104"/>
      <c r="C1219" s="104"/>
      <c r="D1219" s="104"/>
      <c r="E1219" s="104"/>
      <c r="F1219" s="193"/>
      <c r="G1219" s="104"/>
      <c r="H1219" s="104"/>
      <c r="I1219" s="104"/>
      <c r="J1219" s="104"/>
      <c r="K1219" s="104"/>
      <c r="L1219" s="104"/>
      <c r="M1219" s="104"/>
      <c r="N1219" s="104"/>
      <c r="O1219" s="104"/>
      <c r="P1219" s="104"/>
      <c r="Q1219" s="104"/>
      <c r="R1219" s="104"/>
      <c r="S1219" s="104"/>
      <c r="T1219" s="104"/>
      <c r="U1219" s="104"/>
      <c r="V1219" s="104"/>
      <c r="W1219" s="104"/>
      <c r="X1219" s="104"/>
      <c r="Y1219" s="104"/>
      <c r="Z1219" s="104"/>
      <c r="AA1219" s="104"/>
      <c r="AB1219" s="104"/>
      <c r="AC1219" s="104"/>
      <c r="AD1219" s="104"/>
    </row>
    <row r="1220" spans="1:30" ht="12.75">
      <c r="A1220" s="104"/>
      <c r="B1220" s="104"/>
      <c r="C1220" s="104"/>
      <c r="D1220" s="104"/>
      <c r="E1220" s="104"/>
      <c r="F1220" s="193"/>
      <c r="G1220" s="104"/>
      <c r="H1220" s="104"/>
      <c r="I1220" s="104"/>
      <c r="J1220" s="104"/>
      <c r="K1220" s="104"/>
      <c r="L1220" s="104"/>
      <c r="M1220" s="104"/>
      <c r="N1220" s="104"/>
      <c r="O1220" s="104"/>
      <c r="P1220" s="104"/>
      <c r="Q1220" s="104"/>
      <c r="R1220" s="104"/>
      <c r="S1220" s="104"/>
      <c r="T1220" s="104"/>
      <c r="U1220" s="104"/>
      <c r="V1220" s="104"/>
      <c r="W1220" s="104"/>
      <c r="X1220" s="104"/>
      <c r="Y1220" s="104"/>
      <c r="Z1220" s="104"/>
      <c r="AA1220" s="104"/>
      <c r="AB1220" s="104"/>
      <c r="AC1220" s="104"/>
      <c r="AD1220" s="104"/>
    </row>
    <row r="1221" spans="1:30" ht="12.75">
      <c r="A1221" s="104"/>
      <c r="B1221" s="104"/>
      <c r="C1221" s="104"/>
      <c r="D1221" s="104"/>
      <c r="E1221" s="104"/>
      <c r="F1221" s="193"/>
      <c r="G1221" s="104"/>
      <c r="H1221" s="104"/>
      <c r="I1221" s="104"/>
      <c r="J1221" s="104"/>
      <c r="K1221" s="104"/>
      <c r="L1221" s="104"/>
      <c r="M1221" s="104"/>
      <c r="N1221" s="104"/>
      <c r="O1221" s="104"/>
      <c r="P1221" s="104"/>
      <c r="Q1221" s="104"/>
      <c r="R1221" s="104"/>
      <c r="S1221" s="104"/>
      <c r="T1221" s="104"/>
      <c r="U1221" s="104"/>
      <c r="V1221" s="104"/>
      <c r="W1221" s="104"/>
      <c r="X1221" s="104"/>
      <c r="Y1221" s="104"/>
      <c r="Z1221" s="104"/>
      <c r="AA1221" s="104"/>
      <c r="AB1221" s="104"/>
      <c r="AC1221" s="104"/>
      <c r="AD1221" s="104"/>
    </row>
    <row r="1222" spans="1:30" ht="12.75">
      <c r="A1222" s="104"/>
      <c r="B1222" s="104"/>
      <c r="C1222" s="104"/>
      <c r="D1222" s="104"/>
      <c r="E1222" s="104"/>
      <c r="F1222" s="193"/>
      <c r="G1222" s="104"/>
      <c r="H1222" s="104"/>
      <c r="I1222" s="104"/>
      <c r="J1222" s="104"/>
      <c r="K1222" s="104"/>
      <c r="L1222" s="104"/>
      <c r="M1222" s="104"/>
      <c r="N1222" s="104"/>
      <c r="O1222" s="104"/>
      <c r="P1222" s="104"/>
      <c r="Q1222" s="104"/>
      <c r="R1222" s="104"/>
      <c r="S1222" s="104"/>
      <c r="T1222" s="104"/>
      <c r="U1222" s="104"/>
      <c r="V1222" s="104"/>
      <c r="W1222" s="104"/>
      <c r="X1222" s="104"/>
      <c r="Y1222" s="104"/>
      <c r="Z1222" s="104"/>
      <c r="AA1222" s="104"/>
      <c r="AB1222" s="104"/>
      <c r="AC1222" s="104"/>
      <c r="AD1222" s="104"/>
    </row>
    <row r="1223" spans="1:30" ht="12.75">
      <c r="A1223" s="104"/>
      <c r="B1223" s="104"/>
      <c r="C1223" s="104"/>
      <c r="D1223" s="104"/>
      <c r="E1223" s="104"/>
      <c r="F1223" s="193"/>
      <c r="G1223" s="104"/>
      <c r="H1223" s="104"/>
      <c r="I1223" s="104"/>
      <c r="J1223" s="104"/>
      <c r="K1223" s="104"/>
      <c r="L1223" s="104"/>
      <c r="M1223" s="104"/>
      <c r="N1223" s="104"/>
      <c r="O1223" s="104"/>
      <c r="P1223" s="104"/>
      <c r="Q1223" s="104"/>
      <c r="R1223" s="104"/>
      <c r="S1223" s="104"/>
      <c r="T1223" s="104"/>
      <c r="U1223" s="104"/>
      <c r="V1223" s="104"/>
      <c r="W1223" s="104"/>
      <c r="X1223" s="104"/>
      <c r="Y1223" s="104"/>
      <c r="Z1223" s="104"/>
      <c r="AA1223" s="104"/>
      <c r="AB1223" s="104"/>
      <c r="AC1223" s="104"/>
      <c r="AD1223" s="104"/>
    </row>
    <row r="1224" spans="1:30" ht="12.75">
      <c r="A1224" s="104"/>
      <c r="B1224" s="104"/>
      <c r="C1224" s="104"/>
      <c r="D1224" s="104"/>
      <c r="E1224" s="104"/>
      <c r="F1224" s="193"/>
      <c r="G1224" s="104"/>
      <c r="H1224" s="104"/>
      <c r="I1224" s="104"/>
      <c r="J1224" s="104"/>
      <c r="K1224" s="104"/>
      <c r="L1224" s="104"/>
      <c r="M1224" s="104"/>
      <c r="N1224" s="104"/>
      <c r="O1224" s="104"/>
      <c r="P1224" s="104"/>
      <c r="Q1224" s="104"/>
      <c r="R1224" s="104"/>
      <c r="S1224" s="104"/>
      <c r="T1224" s="104"/>
      <c r="U1224" s="104"/>
      <c r="V1224" s="104"/>
      <c r="W1224" s="104"/>
      <c r="X1224" s="104"/>
      <c r="Y1224" s="104"/>
      <c r="Z1224" s="104"/>
      <c r="AA1224" s="104"/>
      <c r="AB1224" s="104"/>
      <c r="AC1224" s="104"/>
      <c r="AD1224" s="104"/>
    </row>
    <row r="1225" spans="1:30" ht="12.75">
      <c r="A1225" s="104"/>
      <c r="B1225" s="104"/>
      <c r="C1225" s="104"/>
      <c r="D1225" s="104"/>
      <c r="E1225" s="104"/>
      <c r="F1225" s="193"/>
      <c r="G1225" s="104"/>
      <c r="H1225" s="104"/>
      <c r="I1225" s="104"/>
      <c r="J1225" s="104"/>
      <c r="K1225" s="104"/>
      <c r="L1225" s="104"/>
      <c r="M1225" s="104"/>
      <c r="N1225" s="104"/>
      <c r="O1225" s="104"/>
      <c r="P1225" s="104"/>
      <c r="Q1225" s="104"/>
      <c r="R1225" s="104"/>
      <c r="S1225" s="104"/>
      <c r="T1225" s="104"/>
      <c r="U1225" s="104"/>
      <c r="V1225" s="104"/>
      <c r="W1225" s="104"/>
      <c r="X1225" s="104"/>
      <c r="Y1225" s="104"/>
      <c r="Z1225" s="104"/>
      <c r="AA1225" s="104"/>
      <c r="AB1225" s="104"/>
      <c r="AC1225" s="104"/>
      <c r="AD1225" s="104"/>
    </row>
    <row r="1226" spans="1:30" ht="12.75">
      <c r="A1226" s="104"/>
      <c r="B1226" s="104"/>
      <c r="C1226" s="104"/>
      <c r="D1226" s="104"/>
      <c r="E1226" s="104"/>
      <c r="F1226" s="193"/>
      <c r="G1226" s="104"/>
      <c r="H1226" s="104"/>
      <c r="I1226" s="104"/>
      <c r="J1226" s="104"/>
      <c r="K1226" s="104"/>
      <c r="L1226" s="104"/>
      <c r="M1226" s="104"/>
      <c r="N1226" s="104"/>
      <c r="O1226" s="104"/>
      <c r="P1226" s="104"/>
      <c r="Q1226" s="104"/>
      <c r="R1226" s="104"/>
      <c r="S1226" s="104"/>
      <c r="T1226" s="104"/>
      <c r="U1226" s="104"/>
      <c r="V1226" s="104"/>
      <c r="W1226" s="104"/>
      <c r="X1226" s="104"/>
      <c r="Y1226" s="104"/>
      <c r="Z1226" s="104"/>
      <c r="AA1226" s="104"/>
      <c r="AB1226" s="104"/>
      <c r="AC1226" s="104"/>
      <c r="AD1226" s="104"/>
    </row>
    <row r="1227" spans="1:30" ht="12.75">
      <c r="A1227" s="104"/>
      <c r="B1227" s="104"/>
      <c r="C1227" s="104"/>
      <c r="D1227" s="104"/>
      <c r="E1227" s="104"/>
      <c r="F1227" s="193"/>
      <c r="G1227" s="104"/>
      <c r="H1227" s="104"/>
      <c r="I1227" s="104"/>
      <c r="J1227" s="104"/>
      <c r="K1227" s="104"/>
      <c r="L1227" s="104"/>
      <c r="M1227" s="104"/>
      <c r="N1227" s="104"/>
      <c r="O1227" s="104"/>
      <c r="P1227" s="104"/>
      <c r="Q1227" s="104"/>
      <c r="R1227" s="104"/>
      <c r="S1227" s="104"/>
      <c r="T1227" s="104"/>
      <c r="U1227" s="104"/>
      <c r="V1227" s="104"/>
      <c r="W1227" s="104"/>
      <c r="X1227" s="104"/>
      <c r="Y1227" s="104"/>
      <c r="Z1227" s="104"/>
      <c r="AA1227" s="104"/>
      <c r="AB1227" s="104"/>
      <c r="AC1227" s="104"/>
      <c r="AD1227" s="104"/>
    </row>
    <row r="1228" spans="1:30" ht="12.75">
      <c r="A1228" s="104"/>
      <c r="B1228" s="104"/>
      <c r="C1228" s="104"/>
      <c r="D1228" s="104"/>
      <c r="E1228" s="104"/>
      <c r="F1228" s="193"/>
      <c r="G1228" s="104"/>
      <c r="H1228" s="104"/>
      <c r="I1228" s="104"/>
      <c r="J1228" s="104"/>
      <c r="K1228" s="104"/>
      <c r="L1228" s="104"/>
      <c r="M1228" s="104"/>
      <c r="N1228" s="104"/>
      <c r="O1228" s="104"/>
      <c r="P1228" s="104"/>
      <c r="Q1228" s="104"/>
      <c r="R1228" s="104"/>
      <c r="S1228" s="104"/>
      <c r="T1228" s="104"/>
      <c r="U1228" s="104"/>
      <c r="V1228" s="104"/>
      <c r="W1228" s="104"/>
      <c r="X1228" s="104"/>
      <c r="Y1228" s="104"/>
      <c r="Z1228" s="104"/>
      <c r="AA1228" s="104"/>
      <c r="AB1228" s="104"/>
      <c r="AC1228" s="104"/>
      <c r="AD1228" s="104"/>
    </row>
    <row r="1229" spans="1:30" ht="12.75">
      <c r="A1229" s="104"/>
      <c r="B1229" s="104"/>
      <c r="C1229" s="104"/>
      <c r="D1229" s="104"/>
      <c r="E1229" s="104"/>
      <c r="F1229" s="193"/>
      <c r="G1229" s="104"/>
      <c r="H1229" s="104"/>
      <c r="I1229" s="104"/>
      <c r="J1229" s="104"/>
      <c r="K1229" s="104"/>
      <c r="L1229" s="104"/>
      <c r="M1229" s="104"/>
      <c r="N1229" s="104"/>
      <c r="O1229" s="104"/>
      <c r="P1229" s="104"/>
      <c r="Q1229" s="104"/>
      <c r="R1229" s="104"/>
      <c r="S1229" s="104"/>
      <c r="T1229" s="104"/>
      <c r="U1229" s="104"/>
      <c r="V1229" s="104"/>
      <c r="W1229" s="104"/>
      <c r="X1229" s="104"/>
      <c r="Y1229" s="104"/>
      <c r="Z1229" s="104"/>
      <c r="AA1229" s="104"/>
      <c r="AB1229" s="104"/>
      <c r="AC1229" s="104"/>
      <c r="AD1229" s="104"/>
    </row>
    <row r="1230" spans="1:30" ht="12.75">
      <c r="A1230" s="104"/>
      <c r="B1230" s="104"/>
      <c r="C1230" s="104"/>
      <c r="D1230" s="104"/>
      <c r="E1230" s="104"/>
      <c r="F1230" s="193"/>
      <c r="G1230" s="104"/>
      <c r="H1230" s="104"/>
      <c r="I1230" s="104"/>
      <c r="J1230" s="104"/>
      <c r="K1230" s="104"/>
      <c r="L1230" s="104"/>
      <c r="M1230" s="104"/>
      <c r="N1230" s="104"/>
      <c r="O1230" s="104"/>
      <c r="P1230" s="104"/>
      <c r="Q1230" s="104"/>
      <c r="R1230" s="104"/>
      <c r="S1230" s="104"/>
      <c r="T1230" s="104"/>
      <c r="U1230" s="104"/>
      <c r="V1230" s="104"/>
      <c r="W1230" s="104"/>
      <c r="X1230" s="104"/>
      <c r="Y1230" s="104"/>
      <c r="Z1230" s="104"/>
      <c r="AA1230" s="104"/>
      <c r="AB1230" s="104"/>
      <c r="AC1230" s="104"/>
      <c r="AD1230" s="104"/>
    </row>
    <row r="1231" spans="1:30" ht="12.75">
      <c r="A1231" s="104"/>
      <c r="B1231" s="104"/>
      <c r="C1231" s="104"/>
      <c r="D1231" s="104"/>
      <c r="E1231" s="104"/>
      <c r="F1231" s="193"/>
      <c r="G1231" s="104"/>
      <c r="H1231" s="104"/>
      <c r="I1231" s="104"/>
      <c r="J1231" s="104"/>
      <c r="K1231" s="104"/>
      <c r="L1231" s="104"/>
      <c r="M1231" s="104"/>
      <c r="N1231" s="104"/>
      <c r="O1231" s="104"/>
      <c r="P1231" s="104"/>
      <c r="Q1231" s="104"/>
      <c r="R1231" s="104"/>
      <c r="S1231" s="104"/>
      <c r="T1231" s="104"/>
      <c r="U1231" s="104"/>
      <c r="V1231" s="104"/>
      <c r="W1231" s="104"/>
      <c r="X1231" s="104"/>
      <c r="Y1231" s="104"/>
      <c r="Z1231" s="104"/>
      <c r="AA1231" s="104"/>
      <c r="AB1231" s="104"/>
      <c r="AC1231" s="104"/>
      <c r="AD1231" s="104"/>
    </row>
    <row r="1232" spans="1:30" ht="12.75">
      <c r="A1232" s="104"/>
      <c r="B1232" s="104"/>
      <c r="C1232" s="104"/>
      <c r="D1232" s="104"/>
      <c r="E1232" s="104"/>
      <c r="F1232" s="193"/>
      <c r="G1232" s="104"/>
      <c r="H1232" s="104"/>
      <c r="I1232" s="104"/>
      <c r="J1232" s="104"/>
      <c r="K1232" s="104"/>
      <c r="L1232" s="104"/>
      <c r="M1232" s="104"/>
      <c r="N1232" s="104"/>
      <c r="O1232" s="104"/>
      <c r="P1232" s="104"/>
      <c r="Q1232" s="104"/>
      <c r="R1232" s="104"/>
      <c r="S1232" s="104"/>
      <c r="T1232" s="104"/>
      <c r="U1232" s="104"/>
      <c r="V1232" s="104"/>
      <c r="W1232" s="104"/>
      <c r="X1232" s="104"/>
      <c r="Y1232" s="104"/>
      <c r="Z1232" s="104"/>
      <c r="AA1232" s="104"/>
      <c r="AB1232" s="104"/>
      <c r="AC1232" s="104"/>
      <c r="AD1232" s="104"/>
    </row>
    <row r="1233" spans="1:30" ht="12.75">
      <c r="A1233" s="104"/>
      <c r="B1233" s="104"/>
      <c r="C1233" s="104"/>
      <c r="D1233" s="104"/>
      <c r="E1233" s="104"/>
      <c r="F1233" s="193"/>
      <c r="G1233" s="104"/>
      <c r="H1233" s="104"/>
      <c r="I1233" s="104"/>
      <c r="J1233" s="104"/>
      <c r="K1233" s="104"/>
      <c r="L1233" s="104"/>
      <c r="M1233" s="104"/>
      <c r="N1233" s="104"/>
      <c r="O1233" s="104"/>
      <c r="P1233" s="104"/>
      <c r="Q1233" s="104"/>
      <c r="R1233" s="104"/>
      <c r="S1233" s="104"/>
      <c r="T1233" s="104"/>
      <c r="U1233" s="104"/>
      <c r="V1233" s="104"/>
      <c r="W1233" s="104"/>
      <c r="X1233" s="104"/>
      <c r="Y1233" s="104"/>
      <c r="Z1233" s="104"/>
      <c r="AA1233" s="104"/>
      <c r="AB1233" s="104"/>
      <c r="AC1233" s="104"/>
      <c r="AD1233" s="104"/>
    </row>
    <row r="1234" spans="1:30" ht="12.75">
      <c r="A1234" s="104"/>
      <c r="B1234" s="104"/>
      <c r="C1234" s="104"/>
      <c r="D1234" s="104"/>
      <c r="E1234" s="104"/>
      <c r="F1234" s="193"/>
      <c r="G1234" s="104"/>
      <c r="H1234" s="104"/>
      <c r="I1234" s="104"/>
      <c r="J1234" s="104"/>
      <c r="K1234" s="104"/>
      <c r="L1234" s="104"/>
      <c r="M1234" s="104"/>
      <c r="N1234" s="104"/>
      <c r="O1234" s="104"/>
      <c r="P1234" s="104"/>
      <c r="Q1234" s="104"/>
      <c r="R1234" s="104"/>
      <c r="S1234" s="104"/>
      <c r="T1234" s="104"/>
      <c r="U1234" s="104"/>
      <c r="V1234" s="104"/>
      <c r="W1234" s="104"/>
      <c r="X1234" s="104"/>
      <c r="Y1234" s="104"/>
      <c r="Z1234" s="104"/>
      <c r="AA1234" s="104"/>
      <c r="AB1234" s="104"/>
      <c r="AC1234" s="104"/>
      <c r="AD1234" s="104"/>
    </row>
    <row r="1235" spans="1:30" ht="12.75">
      <c r="A1235" s="104"/>
      <c r="B1235" s="104"/>
      <c r="C1235" s="104"/>
      <c r="D1235" s="104"/>
      <c r="E1235" s="104"/>
      <c r="F1235" s="193"/>
      <c r="G1235" s="104"/>
      <c r="H1235" s="104"/>
      <c r="I1235" s="104"/>
      <c r="J1235" s="104"/>
      <c r="K1235" s="104"/>
      <c r="L1235" s="104"/>
      <c r="M1235" s="104"/>
      <c r="N1235" s="104"/>
      <c r="O1235" s="104"/>
      <c r="P1235" s="104"/>
      <c r="Q1235" s="104"/>
      <c r="R1235" s="104"/>
      <c r="S1235" s="104"/>
      <c r="T1235" s="104"/>
      <c r="U1235" s="104"/>
      <c r="V1235" s="104"/>
      <c r="W1235" s="104"/>
      <c r="X1235" s="104"/>
      <c r="Y1235" s="104"/>
      <c r="Z1235" s="104"/>
      <c r="AA1235" s="104"/>
      <c r="AB1235" s="104"/>
      <c r="AC1235" s="104"/>
      <c r="AD1235" s="104"/>
    </row>
    <row r="1236" spans="1:30" ht="12.75">
      <c r="A1236" s="104"/>
      <c r="B1236" s="104"/>
      <c r="C1236" s="104"/>
      <c r="D1236" s="104"/>
      <c r="E1236" s="104"/>
      <c r="F1236" s="193"/>
      <c r="G1236" s="104"/>
      <c r="H1236" s="104"/>
      <c r="I1236" s="104"/>
      <c r="J1236" s="104"/>
      <c r="K1236" s="104"/>
      <c r="L1236" s="104"/>
      <c r="M1236" s="104"/>
      <c r="N1236" s="104"/>
      <c r="O1236" s="104"/>
      <c r="P1236" s="104"/>
      <c r="Q1236" s="104"/>
      <c r="R1236" s="104"/>
      <c r="S1236" s="104"/>
      <c r="T1236" s="104"/>
      <c r="U1236" s="104"/>
      <c r="V1236" s="104"/>
      <c r="W1236" s="104"/>
      <c r="X1236" s="104"/>
      <c r="Y1236" s="104"/>
      <c r="Z1236" s="104"/>
      <c r="AA1236" s="104"/>
      <c r="AB1236" s="104"/>
      <c r="AC1236" s="104"/>
      <c r="AD1236" s="104"/>
    </row>
    <row r="1237" spans="1:30" ht="12.75">
      <c r="A1237" s="104"/>
      <c r="B1237" s="104"/>
      <c r="C1237" s="104"/>
      <c r="D1237" s="104"/>
      <c r="E1237" s="104"/>
      <c r="F1237" s="193"/>
      <c r="G1237" s="104"/>
      <c r="H1237" s="104"/>
      <c r="I1237" s="104"/>
      <c r="J1237" s="104"/>
      <c r="K1237" s="104"/>
      <c r="L1237" s="104"/>
      <c r="M1237" s="104"/>
      <c r="N1237" s="104"/>
      <c r="O1237" s="104"/>
      <c r="P1237" s="104"/>
      <c r="Q1237" s="104"/>
      <c r="R1237" s="104"/>
      <c r="S1237" s="104"/>
      <c r="T1237" s="104"/>
      <c r="U1237" s="104"/>
      <c r="V1237" s="104"/>
      <c r="W1237" s="104"/>
      <c r="X1237" s="104"/>
      <c r="Y1237" s="104"/>
      <c r="Z1237" s="104"/>
      <c r="AA1237" s="104"/>
      <c r="AB1237" s="104"/>
      <c r="AC1237" s="104"/>
      <c r="AD1237" s="104"/>
    </row>
    <row r="1238" spans="1:30" ht="12.75">
      <c r="A1238" s="104"/>
      <c r="B1238" s="104"/>
      <c r="C1238" s="104"/>
      <c r="D1238" s="104"/>
      <c r="E1238" s="104"/>
      <c r="F1238" s="193"/>
      <c r="G1238" s="104"/>
      <c r="H1238" s="104"/>
      <c r="I1238" s="104"/>
      <c r="J1238" s="104"/>
      <c r="K1238" s="104"/>
      <c r="L1238" s="104"/>
      <c r="M1238" s="104"/>
      <c r="N1238" s="104"/>
      <c r="O1238" s="104"/>
      <c r="P1238" s="104"/>
      <c r="Q1238" s="104"/>
      <c r="R1238" s="104"/>
      <c r="S1238" s="104"/>
      <c r="T1238" s="104"/>
      <c r="U1238" s="104"/>
      <c r="V1238" s="104"/>
      <c r="W1238" s="104"/>
      <c r="X1238" s="104"/>
      <c r="Y1238" s="104"/>
      <c r="Z1238" s="104"/>
      <c r="AA1238" s="104"/>
      <c r="AB1238" s="104"/>
      <c r="AC1238" s="104"/>
      <c r="AD1238" s="104"/>
    </row>
    <row r="1239" spans="1:30" ht="12.75">
      <c r="A1239" s="104"/>
      <c r="B1239" s="104"/>
      <c r="C1239" s="104"/>
      <c r="D1239" s="104"/>
      <c r="E1239" s="104"/>
      <c r="F1239" s="193"/>
      <c r="G1239" s="104"/>
      <c r="H1239" s="104"/>
      <c r="I1239" s="104"/>
      <c r="J1239" s="104"/>
      <c r="K1239" s="104"/>
      <c r="L1239" s="104"/>
      <c r="M1239" s="104"/>
      <c r="N1239" s="104"/>
      <c r="O1239" s="104"/>
      <c r="P1239" s="104"/>
      <c r="Q1239" s="104"/>
      <c r="R1239" s="104"/>
      <c r="S1239" s="104"/>
      <c r="T1239" s="104"/>
      <c r="U1239" s="104"/>
      <c r="V1239" s="104"/>
      <c r="W1239" s="104"/>
      <c r="X1239" s="104"/>
      <c r="Y1239" s="104"/>
      <c r="Z1239" s="104"/>
      <c r="AA1239" s="104"/>
      <c r="AB1239" s="104"/>
      <c r="AC1239" s="104"/>
      <c r="AD1239" s="104"/>
    </row>
    <row r="1240" spans="1:30" ht="12.75">
      <c r="A1240" s="104"/>
      <c r="B1240" s="104"/>
      <c r="C1240" s="104"/>
      <c r="D1240" s="104"/>
      <c r="E1240" s="104"/>
      <c r="F1240" s="193"/>
      <c r="G1240" s="104"/>
      <c r="H1240" s="104"/>
      <c r="I1240" s="104"/>
      <c r="J1240" s="104"/>
      <c r="K1240" s="104"/>
      <c r="L1240" s="104"/>
      <c r="M1240" s="104"/>
      <c r="N1240" s="104"/>
      <c r="O1240" s="104"/>
      <c r="P1240" s="104"/>
      <c r="Q1240" s="104"/>
      <c r="R1240" s="104"/>
      <c r="S1240" s="104"/>
      <c r="T1240" s="104"/>
      <c r="U1240" s="104"/>
      <c r="V1240" s="104"/>
      <c r="W1240" s="104"/>
      <c r="X1240" s="104"/>
      <c r="Y1240" s="104"/>
      <c r="Z1240" s="104"/>
      <c r="AA1240" s="104"/>
      <c r="AB1240" s="104"/>
      <c r="AC1240" s="104"/>
      <c r="AD1240" s="104"/>
    </row>
    <row r="1241" spans="1:30" ht="12.75">
      <c r="A1241" s="104"/>
      <c r="B1241" s="104"/>
      <c r="C1241" s="104"/>
      <c r="D1241" s="104"/>
      <c r="E1241" s="104"/>
      <c r="F1241" s="193"/>
      <c r="G1241" s="104"/>
      <c r="H1241" s="104"/>
      <c r="I1241" s="104"/>
      <c r="J1241" s="104"/>
      <c r="K1241" s="104"/>
      <c r="L1241" s="104"/>
      <c r="M1241" s="104"/>
      <c r="N1241" s="104"/>
      <c r="O1241" s="104"/>
      <c r="P1241" s="104"/>
      <c r="Q1241" s="104"/>
      <c r="R1241" s="104"/>
      <c r="S1241" s="104"/>
      <c r="T1241" s="104"/>
      <c r="U1241" s="104"/>
      <c r="V1241" s="104"/>
      <c r="W1241" s="104"/>
      <c r="X1241" s="104"/>
      <c r="Y1241" s="104"/>
      <c r="Z1241" s="104"/>
      <c r="AA1241" s="104"/>
      <c r="AB1241" s="104"/>
      <c r="AC1241" s="104"/>
      <c r="AD1241" s="104"/>
    </row>
    <row r="1242" spans="1:30" ht="12.75">
      <c r="A1242" s="104"/>
      <c r="B1242" s="104"/>
      <c r="C1242" s="104"/>
      <c r="D1242" s="104"/>
      <c r="E1242" s="104"/>
      <c r="F1242" s="193"/>
      <c r="G1242" s="104"/>
      <c r="H1242" s="104"/>
      <c r="I1242" s="104"/>
      <c r="J1242" s="104"/>
      <c r="K1242" s="104"/>
      <c r="L1242" s="104"/>
      <c r="M1242" s="104"/>
      <c r="N1242" s="104"/>
      <c r="O1242" s="104"/>
      <c r="P1242" s="104"/>
      <c r="Q1242" s="104"/>
      <c r="R1242" s="104"/>
      <c r="S1242" s="104"/>
      <c r="T1242" s="104"/>
      <c r="U1242" s="104"/>
      <c r="V1242" s="104"/>
      <c r="W1242" s="104"/>
      <c r="X1242" s="104"/>
      <c r="Y1242" s="104"/>
      <c r="Z1242" s="104"/>
      <c r="AA1242" s="104"/>
      <c r="AB1242" s="104"/>
      <c r="AC1242" s="104"/>
      <c r="AD1242" s="104"/>
    </row>
    <row r="1243" spans="1:30" ht="12.75">
      <c r="A1243" s="104"/>
      <c r="B1243" s="104"/>
      <c r="C1243" s="104"/>
      <c r="D1243" s="104"/>
      <c r="E1243" s="104"/>
      <c r="F1243" s="193"/>
      <c r="G1243" s="104"/>
      <c r="H1243" s="104"/>
      <c r="I1243" s="104"/>
      <c r="J1243" s="104"/>
      <c r="K1243" s="104"/>
      <c r="L1243" s="104"/>
      <c r="M1243" s="104"/>
      <c r="N1243" s="104"/>
      <c r="O1243" s="104"/>
      <c r="P1243" s="104"/>
      <c r="Q1243" s="104"/>
      <c r="R1243" s="104"/>
      <c r="S1243" s="104"/>
      <c r="T1243" s="104"/>
      <c r="U1243" s="104"/>
      <c r="V1243" s="104"/>
      <c r="W1243" s="104"/>
      <c r="X1243" s="104"/>
      <c r="Y1243" s="104"/>
      <c r="Z1243" s="104"/>
      <c r="AA1243" s="104"/>
      <c r="AB1243" s="104"/>
      <c r="AC1243" s="104"/>
      <c r="AD1243" s="104"/>
    </row>
    <row r="1244" spans="1:30" ht="12.75">
      <c r="A1244" s="104"/>
      <c r="B1244" s="104"/>
      <c r="C1244" s="104"/>
      <c r="D1244" s="104"/>
      <c r="E1244" s="104"/>
      <c r="F1244" s="193"/>
      <c r="G1244" s="104"/>
      <c r="H1244" s="104"/>
      <c r="I1244" s="104"/>
      <c r="J1244" s="104"/>
      <c r="K1244" s="104"/>
      <c r="L1244" s="104"/>
      <c r="M1244" s="104"/>
      <c r="N1244" s="104"/>
      <c r="O1244" s="104"/>
      <c r="P1244" s="104"/>
      <c r="Q1244" s="104"/>
      <c r="R1244" s="104"/>
      <c r="S1244" s="104"/>
      <c r="T1244" s="104"/>
      <c r="U1244" s="104"/>
      <c r="V1244" s="104"/>
      <c r="W1244" s="104"/>
      <c r="X1244" s="104"/>
      <c r="Y1244" s="104"/>
      <c r="Z1244" s="104"/>
      <c r="AA1244" s="104"/>
      <c r="AB1244" s="104"/>
      <c r="AC1244" s="104"/>
      <c r="AD1244" s="104"/>
    </row>
    <row r="1245" spans="1:30" ht="12.75">
      <c r="A1245" s="104"/>
      <c r="B1245" s="104"/>
      <c r="C1245" s="104"/>
      <c r="D1245" s="104"/>
      <c r="E1245" s="104"/>
      <c r="F1245" s="193"/>
      <c r="G1245" s="104"/>
      <c r="H1245" s="104"/>
      <c r="I1245" s="104"/>
      <c r="J1245" s="104"/>
      <c r="K1245" s="104"/>
      <c r="L1245" s="104"/>
      <c r="M1245" s="104"/>
      <c r="N1245" s="104"/>
      <c r="O1245" s="104"/>
      <c r="P1245" s="104"/>
      <c r="Q1245" s="104"/>
      <c r="R1245" s="104"/>
      <c r="S1245" s="104"/>
      <c r="T1245" s="104"/>
      <c r="U1245" s="104"/>
      <c r="V1245" s="104"/>
      <c r="W1245" s="104"/>
      <c r="X1245" s="104"/>
      <c r="Y1245" s="104"/>
      <c r="Z1245" s="104"/>
      <c r="AA1245" s="104"/>
      <c r="AB1245" s="104"/>
      <c r="AC1245" s="104"/>
      <c r="AD1245" s="104"/>
    </row>
    <row r="1246" spans="1:30" ht="12.75">
      <c r="A1246" s="104"/>
      <c r="B1246" s="104"/>
      <c r="C1246" s="104"/>
      <c r="D1246" s="104"/>
      <c r="E1246" s="104"/>
      <c r="F1246" s="193"/>
      <c r="G1246" s="104"/>
      <c r="H1246" s="104"/>
      <c r="I1246" s="104"/>
      <c r="J1246" s="104"/>
      <c r="K1246" s="104"/>
      <c r="L1246" s="104"/>
      <c r="M1246" s="104"/>
      <c r="N1246" s="104"/>
      <c r="O1246" s="104"/>
      <c r="P1246" s="104"/>
      <c r="Q1246" s="104"/>
      <c r="R1246" s="104"/>
      <c r="S1246" s="104"/>
      <c r="T1246" s="104"/>
      <c r="U1246" s="104"/>
      <c r="V1246" s="104"/>
      <c r="W1246" s="104"/>
      <c r="X1246" s="104"/>
      <c r="Y1246" s="104"/>
      <c r="Z1246" s="104"/>
      <c r="AA1246" s="104"/>
      <c r="AB1246" s="104"/>
      <c r="AC1246" s="104"/>
      <c r="AD1246" s="104"/>
    </row>
    <row r="1247" spans="1:30" ht="12.75">
      <c r="A1247" s="104"/>
      <c r="B1247" s="104"/>
      <c r="C1247" s="104"/>
      <c r="D1247" s="104"/>
      <c r="E1247" s="104"/>
      <c r="F1247" s="193"/>
      <c r="G1247" s="104"/>
      <c r="H1247" s="104"/>
      <c r="I1247" s="104"/>
      <c r="J1247" s="104"/>
      <c r="K1247" s="104"/>
      <c r="L1247" s="104"/>
      <c r="M1247" s="104"/>
      <c r="N1247" s="104"/>
      <c r="O1247" s="104"/>
      <c r="P1247" s="104"/>
      <c r="Q1247" s="104"/>
      <c r="R1247" s="104"/>
      <c r="S1247" s="104"/>
      <c r="T1247" s="104"/>
      <c r="U1247" s="104"/>
      <c r="V1247" s="104"/>
      <c r="W1247" s="104"/>
      <c r="X1247" s="104"/>
      <c r="Y1247" s="104"/>
      <c r="Z1247" s="104"/>
      <c r="AA1247" s="104"/>
      <c r="AB1247" s="104"/>
      <c r="AC1247" s="104"/>
      <c r="AD1247" s="104"/>
    </row>
    <row r="1248" spans="1:30" ht="12.75">
      <c r="A1248" s="104"/>
      <c r="B1248" s="104"/>
      <c r="C1248" s="104"/>
      <c r="D1248" s="104"/>
      <c r="E1248" s="104"/>
      <c r="F1248" s="193"/>
      <c r="G1248" s="104"/>
      <c r="H1248" s="104"/>
      <c r="I1248" s="104"/>
      <c r="J1248" s="104"/>
      <c r="K1248" s="104"/>
      <c r="L1248" s="104"/>
      <c r="M1248" s="104"/>
      <c r="N1248" s="104"/>
      <c r="O1248" s="104"/>
      <c r="P1248" s="104"/>
      <c r="Q1248" s="104"/>
      <c r="R1248" s="104"/>
      <c r="S1248" s="104"/>
      <c r="T1248" s="104"/>
      <c r="U1248" s="104"/>
      <c r="V1248" s="104"/>
      <c r="W1248" s="104"/>
      <c r="X1248" s="104"/>
      <c r="Y1248" s="104"/>
      <c r="Z1248" s="104"/>
      <c r="AA1248" s="104"/>
      <c r="AB1248" s="104"/>
      <c r="AC1248" s="104"/>
      <c r="AD1248" s="104"/>
    </row>
    <row r="1249" spans="1:30" ht="12.75">
      <c r="A1249" s="104"/>
      <c r="B1249" s="104"/>
      <c r="C1249" s="104"/>
      <c r="D1249" s="104"/>
      <c r="E1249" s="104"/>
      <c r="F1249" s="193"/>
      <c r="G1249" s="104"/>
      <c r="H1249" s="104"/>
      <c r="I1249" s="104"/>
      <c r="J1249" s="104"/>
      <c r="K1249" s="104"/>
      <c r="L1249" s="104"/>
      <c r="M1249" s="104"/>
      <c r="N1249" s="104"/>
      <c r="O1249" s="104"/>
      <c r="P1249" s="104"/>
      <c r="Q1249" s="104"/>
      <c r="R1249" s="104"/>
      <c r="S1249" s="104"/>
      <c r="T1249" s="104"/>
      <c r="U1249" s="104"/>
      <c r="V1249" s="104"/>
      <c r="W1249" s="104"/>
      <c r="X1249" s="104"/>
      <c r="Y1249" s="104"/>
      <c r="Z1249" s="104"/>
      <c r="AA1249" s="104"/>
      <c r="AB1249" s="104"/>
      <c r="AC1249" s="104"/>
      <c r="AD1249" s="104"/>
    </row>
    <row r="1250" spans="1:30" ht="12.75">
      <c r="A1250" s="104"/>
      <c r="B1250" s="104"/>
      <c r="C1250" s="104"/>
      <c r="D1250" s="104"/>
      <c r="E1250" s="104"/>
      <c r="F1250" s="193"/>
      <c r="G1250" s="104"/>
      <c r="H1250" s="104"/>
      <c r="I1250" s="104"/>
      <c r="J1250" s="104"/>
      <c r="K1250" s="104"/>
      <c r="L1250" s="104"/>
      <c r="M1250" s="104"/>
      <c r="N1250" s="104"/>
      <c r="O1250" s="104"/>
      <c r="P1250" s="104"/>
      <c r="Q1250" s="104"/>
      <c r="R1250" s="104"/>
      <c r="S1250" s="104"/>
      <c r="T1250" s="104"/>
      <c r="U1250" s="104"/>
      <c r="V1250" s="104"/>
      <c r="W1250" s="104"/>
      <c r="X1250" s="104"/>
      <c r="Y1250" s="104"/>
      <c r="Z1250" s="104"/>
      <c r="AA1250" s="104"/>
      <c r="AB1250" s="104"/>
      <c r="AC1250" s="104"/>
      <c r="AD1250" s="104"/>
    </row>
    <row r="1251" spans="1:30" ht="12.75">
      <c r="A1251" s="104"/>
      <c r="B1251" s="104"/>
      <c r="C1251" s="104"/>
      <c r="D1251" s="104"/>
      <c r="E1251" s="104"/>
      <c r="F1251" s="193"/>
      <c r="G1251" s="104"/>
      <c r="H1251" s="104"/>
      <c r="I1251" s="104"/>
      <c r="J1251" s="104"/>
      <c r="K1251" s="104"/>
      <c r="L1251" s="104"/>
      <c r="M1251" s="104"/>
      <c r="N1251" s="104"/>
      <c r="O1251" s="104"/>
      <c r="P1251" s="104"/>
      <c r="Q1251" s="104"/>
      <c r="R1251" s="104"/>
      <c r="S1251" s="104"/>
      <c r="T1251" s="104"/>
      <c r="U1251" s="104"/>
      <c r="V1251" s="104"/>
      <c r="W1251" s="104"/>
      <c r="X1251" s="104"/>
      <c r="Y1251" s="104"/>
      <c r="Z1251" s="104"/>
      <c r="AA1251" s="104"/>
      <c r="AB1251" s="104"/>
      <c r="AC1251" s="104"/>
      <c r="AD1251" s="104"/>
    </row>
    <row r="1252" spans="1:30" ht="12.75">
      <c r="A1252" s="104"/>
      <c r="B1252" s="104"/>
      <c r="C1252" s="104"/>
      <c r="D1252" s="104"/>
      <c r="E1252" s="104"/>
      <c r="F1252" s="193"/>
      <c r="G1252" s="104"/>
      <c r="H1252" s="104"/>
      <c r="I1252" s="104"/>
      <c r="J1252" s="104"/>
      <c r="K1252" s="104"/>
      <c r="L1252" s="104"/>
      <c r="M1252" s="104"/>
      <c r="N1252" s="104"/>
      <c r="O1252" s="104"/>
      <c r="P1252" s="104"/>
      <c r="Q1252" s="104"/>
      <c r="R1252" s="104"/>
      <c r="S1252" s="104"/>
      <c r="T1252" s="104"/>
      <c r="U1252" s="104"/>
      <c r="V1252" s="104"/>
      <c r="W1252" s="104"/>
      <c r="X1252" s="104"/>
      <c r="Y1252" s="104"/>
      <c r="Z1252" s="104"/>
      <c r="AA1252" s="104"/>
      <c r="AB1252" s="104"/>
      <c r="AC1252" s="104"/>
      <c r="AD1252" s="104"/>
    </row>
    <row r="1253" spans="1:30" ht="12.75">
      <c r="A1253" s="104"/>
      <c r="B1253" s="104"/>
      <c r="C1253" s="104"/>
      <c r="D1253" s="104"/>
      <c r="E1253" s="104"/>
      <c r="F1253" s="193"/>
      <c r="G1253" s="104"/>
      <c r="H1253" s="104"/>
      <c r="I1253" s="104"/>
      <c r="J1253" s="104"/>
      <c r="K1253" s="104"/>
      <c r="L1253" s="104"/>
      <c r="M1253" s="104"/>
      <c r="N1253" s="104"/>
      <c r="O1253" s="104"/>
      <c r="P1253" s="104"/>
      <c r="Q1253" s="104"/>
      <c r="R1253" s="104"/>
      <c r="S1253" s="104"/>
      <c r="T1253" s="104"/>
      <c r="U1253" s="104"/>
      <c r="V1253" s="104"/>
      <c r="W1253" s="104"/>
      <c r="X1253" s="104"/>
      <c r="Y1253" s="104"/>
      <c r="Z1253" s="104"/>
      <c r="AA1253" s="104"/>
      <c r="AB1253" s="104"/>
      <c r="AC1253" s="104"/>
      <c r="AD1253" s="104"/>
    </row>
    <row r="1254" spans="1:30" ht="12.75">
      <c r="A1254" s="104"/>
      <c r="B1254" s="104"/>
      <c r="C1254" s="104"/>
      <c r="D1254" s="104"/>
      <c r="E1254" s="104"/>
      <c r="F1254" s="193"/>
      <c r="G1254" s="104"/>
      <c r="H1254" s="104"/>
      <c r="I1254" s="104"/>
      <c r="J1254" s="104"/>
      <c r="K1254" s="104"/>
      <c r="L1254" s="104"/>
      <c r="M1254" s="104"/>
      <c r="N1254" s="104"/>
      <c r="O1254" s="104"/>
      <c r="P1254" s="104"/>
      <c r="Q1254" s="104"/>
      <c r="R1254" s="104"/>
      <c r="S1254" s="104"/>
      <c r="T1254" s="104"/>
      <c r="U1254" s="104"/>
      <c r="V1254" s="104"/>
      <c r="W1254" s="104"/>
      <c r="X1254" s="104"/>
      <c r="Y1254" s="104"/>
      <c r="Z1254" s="104"/>
      <c r="AA1254" s="104"/>
      <c r="AB1254" s="104"/>
      <c r="AC1254" s="104"/>
      <c r="AD1254" s="104"/>
    </row>
    <row r="1255" spans="1:30" ht="12.75">
      <c r="A1255" s="104"/>
      <c r="B1255" s="104"/>
      <c r="C1255" s="104"/>
      <c r="D1255" s="104"/>
      <c r="E1255" s="104"/>
      <c r="F1255" s="193"/>
      <c r="G1255" s="104"/>
      <c r="H1255" s="104"/>
      <c r="I1255" s="104"/>
      <c r="J1255" s="104"/>
      <c r="K1255" s="104"/>
      <c r="L1255" s="104"/>
      <c r="M1255" s="104"/>
      <c r="N1255" s="104"/>
      <c r="O1255" s="104"/>
      <c r="P1255" s="104"/>
      <c r="Q1255" s="104"/>
      <c r="R1255" s="104"/>
      <c r="S1255" s="104"/>
      <c r="T1255" s="104"/>
      <c r="U1255" s="104"/>
      <c r="V1255" s="104"/>
      <c r="W1255" s="104"/>
      <c r="X1255" s="104"/>
      <c r="Y1255" s="104"/>
      <c r="Z1255" s="104"/>
      <c r="AA1255" s="104"/>
      <c r="AB1255" s="104"/>
      <c r="AC1255" s="104"/>
      <c r="AD1255" s="104"/>
    </row>
    <row r="1256" spans="1:30" ht="12.75">
      <c r="A1256" s="104"/>
      <c r="B1256" s="104"/>
      <c r="C1256" s="104"/>
      <c r="D1256" s="104"/>
      <c r="E1256" s="104"/>
      <c r="F1256" s="193"/>
      <c r="G1256" s="104"/>
      <c r="H1256" s="104"/>
      <c r="I1256" s="104"/>
      <c r="J1256" s="104"/>
      <c r="K1256" s="104"/>
      <c r="L1256" s="104"/>
      <c r="M1256" s="104"/>
      <c r="N1256" s="104"/>
      <c r="O1256" s="104"/>
      <c r="P1256" s="104"/>
      <c r="Q1256" s="104"/>
      <c r="R1256" s="104"/>
      <c r="S1256" s="104"/>
      <c r="T1256" s="104"/>
      <c r="U1256" s="104"/>
      <c r="V1256" s="104"/>
      <c r="W1256" s="104"/>
      <c r="X1256" s="104"/>
      <c r="Y1256" s="104"/>
      <c r="Z1256" s="104"/>
      <c r="AA1256" s="104"/>
      <c r="AB1256" s="104"/>
      <c r="AC1256" s="104"/>
      <c r="AD1256" s="104"/>
    </row>
    <row r="1257" spans="1:30" ht="12.75">
      <c r="A1257" s="104"/>
      <c r="B1257" s="104"/>
      <c r="C1257" s="104"/>
      <c r="D1257" s="104"/>
      <c r="E1257" s="104"/>
      <c r="F1257" s="193"/>
      <c r="G1257" s="104"/>
      <c r="H1257" s="104"/>
      <c r="I1257" s="104"/>
      <c r="J1257" s="104"/>
      <c r="K1257" s="104"/>
      <c r="L1257" s="104"/>
      <c r="M1257" s="104"/>
      <c r="N1257" s="104"/>
      <c r="O1257" s="104"/>
      <c r="P1257" s="104"/>
      <c r="Q1257" s="104"/>
      <c r="R1257" s="104"/>
      <c r="S1257" s="104"/>
      <c r="T1257" s="104"/>
      <c r="U1257" s="104"/>
      <c r="V1257" s="104"/>
      <c r="W1257" s="104"/>
      <c r="X1257" s="104"/>
      <c r="Y1257" s="104"/>
      <c r="Z1257" s="104"/>
      <c r="AA1257" s="104"/>
      <c r="AB1257" s="104"/>
      <c r="AC1257" s="104"/>
      <c r="AD1257" s="104"/>
    </row>
    <row r="1258" spans="1:30" ht="12.75">
      <c r="A1258" s="104"/>
      <c r="B1258" s="104"/>
      <c r="C1258" s="104"/>
      <c r="D1258" s="104"/>
      <c r="E1258" s="104"/>
      <c r="F1258" s="193"/>
      <c r="G1258" s="104"/>
      <c r="H1258" s="104"/>
      <c r="I1258" s="104"/>
      <c r="J1258" s="104"/>
      <c r="K1258" s="104"/>
      <c r="L1258" s="104"/>
      <c r="M1258" s="104"/>
      <c r="N1258" s="104"/>
      <c r="O1258" s="104"/>
      <c r="P1258" s="104"/>
      <c r="Q1258" s="104"/>
      <c r="R1258" s="104"/>
      <c r="S1258" s="104"/>
      <c r="T1258" s="104"/>
      <c r="U1258" s="104"/>
      <c r="V1258" s="104"/>
      <c r="W1258" s="104"/>
      <c r="X1258" s="104"/>
      <c r="Y1258" s="104"/>
      <c r="Z1258" s="104"/>
      <c r="AA1258" s="104"/>
      <c r="AB1258" s="104"/>
      <c r="AC1258" s="104"/>
      <c r="AD1258" s="104"/>
    </row>
    <row r="1259" spans="1:30" ht="12.75">
      <c r="A1259" s="104"/>
      <c r="B1259" s="104"/>
      <c r="C1259" s="104"/>
      <c r="D1259" s="104"/>
      <c r="E1259" s="104"/>
      <c r="F1259" s="193"/>
      <c r="G1259" s="104"/>
      <c r="H1259" s="104"/>
      <c r="I1259" s="104"/>
      <c r="J1259" s="104"/>
      <c r="K1259" s="104"/>
      <c r="L1259" s="104"/>
      <c r="M1259" s="104"/>
      <c r="N1259" s="104"/>
      <c r="O1259" s="104"/>
      <c r="P1259" s="104"/>
      <c r="Q1259" s="104"/>
      <c r="R1259" s="104"/>
      <c r="S1259" s="104"/>
      <c r="T1259" s="104"/>
      <c r="U1259" s="104"/>
      <c r="V1259" s="104"/>
      <c r="W1259" s="104"/>
      <c r="X1259" s="104"/>
      <c r="Y1259" s="104"/>
      <c r="Z1259" s="104"/>
      <c r="AA1259" s="104"/>
      <c r="AB1259" s="104"/>
      <c r="AC1259" s="104"/>
      <c r="AD1259" s="104"/>
    </row>
    <row r="1260" spans="1:30" ht="12.75">
      <c r="A1260" s="104"/>
      <c r="B1260" s="104"/>
      <c r="C1260" s="104"/>
      <c r="D1260" s="104"/>
      <c r="E1260" s="104"/>
      <c r="F1260" s="193"/>
      <c r="G1260" s="104"/>
      <c r="H1260" s="104"/>
      <c r="I1260" s="104"/>
      <c r="J1260" s="104"/>
      <c r="K1260" s="104"/>
      <c r="L1260" s="104"/>
      <c r="M1260" s="104"/>
      <c r="N1260" s="104"/>
      <c r="O1260" s="104"/>
      <c r="P1260" s="104"/>
      <c r="Q1260" s="104"/>
      <c r="R1260" s="104"/>
      <c r="S1260" s="104"/>
      <c r="T1260" s="104"/>
      <c r="U1260" s="104"/>
      <c r="V1260" s="104"/>
      <c r="W1260" s="104"/>
      <c r="X1260" s="104"/>
      <c r="Y1260" s="104"/>
      <c r="Z1260" s="104"/>
      <c r="AA1260" s="104"/>
      <c r="AB1260" s="104"/>
      <c r="AC1260" s="104"/>
      <c r="AD1260" s="104"/>
    </row>
    <row r="1261" spans="1:30" ht="12.75">
      <c r="A1261" s="104"/>
      <c r="B1261" s="104"/>
      <c r="C1261" s="104"/>
      <c r="D1261" s="104"/>
      <c r="E1261" s="104"/>
      <c r="F1261" s="193"/>
      <c r="G1261" s="104"/>
      <c r="H1261" s="104"/>
      <c r="I1261" s="104"/>
      <c r="J1261" s="104"/>
      <c r="K1261" s="104"/>
      <c r="L1261" s="104"/>
      <c r="M1261" s="104"/>
      <c r="N1261" s="104"/>
      <c r="O1261" s="104"/>
      <c r="P1261" s="104"/>
      <c r="Q1261" s="104"/>
      <c r="R1261" s="104"/>
      <c r="S1261" s="104"/>
      <c r="T1261" s="104"/>
      <c r="U1261" s="104"/>
      <c r="V1261" s="104"/>
      <c r="W1261" s="104"/>
      <c r="X1261" s="104"/>
      <c r="Y1261" s="104"/>
      <c r="Z1261" s="104"/>
      <c r="AA1261" s="104"/>
      <c r="AB1261" s="104"/>
      <c r="AC1261" s="104"/>
      <c r="AD1261" s="104"/>
    </row>
    <row r="1262" spans="1:30" ht="12.75">
      <c r="A1262" s="104"/>
      <c r="B1262" s="104"/>
      <c r="C1262" s="104"/>
      <c r="D1262" s="104"/>
      <c r="E1262" s="104"/>
      <c r="F1262" s="193"/>
      <c r="G1262" s="104"/>
      <c r="H1262" s="104"/>
      <c r="I1262" s="104"/>
      <c r="J1262" s="104"/>
      <c r="K1262" s="104"/>
      <c r="L1262" s="104"/>
      <c r="M1262" s="104"/>
      <c r="N1262" s="104"/>
      <c r="O1262" s="104"/>
      <c r="P1262" s="104"/>
      <c r="Q1262" s="104"/>
      <c r="R1262" s="104"/>
      <c r="S1262" s="104"/>
      <c r="T1262" s="104"/>
      <c r="U1262" s="104"/>
      <c r="V1262" s="104"/>
      <c r="W1262" s="104"/>
      <c r="X1262" s="104"/>
      <c r="Y1262" s="104"/>
      <c r="Z1262" s="104"/>
      <c r="AA1262" s="104"/>
      <c r="AB1262" s="104"/>
      <c r="AC1262" s="104"/>
      <c r="AD1262" s="104"/>
    </row>
    <row r="1263" spans="1:30" ht="12.75">
      <c r="A1263" s="104"/>
      <c r="B1263" s="104"/>
      <c r="C1263" s="104"/>
      <c r="D1263" s="104"/>
      <c r="E1263" s="104"/>
      <c r="F1263" s="193"/>
      <c r="G1263" s="104"/>
      <c r="H1263" s="104"/>
      <c r="I1263" s="104"/>
      <c r="J1263" s="104"/>
      <c r="K1263" s="104"/>
      <c r="L1263" s="104"/>
      <c r="M1263" s="104"/>
      <c r="N1263" s="104"/>
      <c r="O1263" s="104"/>
      <c r="P1263" s="104"/>
      <c r="Q1263" s="104"/>
      <c r="R1263" s="104"/>
      <c r="S1263" s="104"/>
      <c r="T1263" s="104"/>
      <c r="U1263" s="104"/>
      <c r="V1263" s="104"/>
      <c r="W1263" s="104"/>
      <c r="X1263" s="104"/>
      <c r="Y1263" s="104"/>
      <c r="Z1263" s="104"/>
      <c r="AA1263" s="104"/>
      <c r="AB1263" s="104"/>
      <c r="AC1263" s="104"/>
      <c r="AD1263" s="104"/>
    </row>
    <row r="1264" spans="1:30" ht="12.75">
      <c r="A1264" s="104"/>
      <c r="B1264" s="104"/>
      <c r="C1264" s="104"/>
      <c r="D1264" s="104"/>
      <c r="E1264" s="104"/>
      <c r="F1264" s="193"/>
      <c r="G1264" s="104"/>
      <c r="H1264" s="104"/>
      <c r="I1264" s="104"/>
      <c r="J1264" s="104"/>
      <c r="K1264" s="104"/>
      <c r="L1264" s="104"/>
      <c r="M1264" s="104"/>
      <c r="N1264" s="104"/>
      <c r="O1264" s="104"/>
      <c r="P1264" s="104"/>
      <c r="Q1264" s="104"/>
      <c r="R1264" s="104"/>
      <c r="S1264" s="104"/>
      <c r="T1264" s="104"/>
      <c r="U1264" s="104"/>
      <c r="V1264" s="104"/>
      <c r="W1264" s="104"/>
      <c r="X1264" s="104"/>
      <c r="Y1264" s="104"/>
      <c r="Z1264" s="104"/>
      <c r="AA1264" s="104"/>
      <c r="AB1264" s="104"/>
      <c r="AC1264" s="104"/>
      <c r="AD1264" s="104"/>
    </row>
    <row r="1265" spans="1:30" ht="12.75">
      <c r="A1265" s="104"/>
      <c r="B1265" s="104"/>
      <c r="C1265" s="104"/>
      <c r="D1265" s="104"/>
      <c r="E1265" s="104"/>
      <c r="F1265" s="193"/>
      <c r="G1265" s="104"/>
      <c r="H1265" s="104"/>
      <c r="I1265" s="104"/>
      <c r="J1265" s="104"/>
      <c r="K1265" s="104"/>
      <c r="L1265" s="104"/>
      <c r="M1265" s="104"/>
      <c r="N1265" s="104"/>
      <c r="O1265" s="104"/>
      <c r="P1265" s="104"/>
      <c r="Q1265" s="104"/>
      <c r="R1265" s="104"/>
      <c r="S1265" s="104"/>
      <c r="T1265" s="104"/>
      <c r="U1265" s="104"/>
      <c r="V1265" s="104"/>
      <c r="W1265" s="104"/>
      <c r="X1265" s="104"/>
      <c r="Y1265" s="104"/>
      <c r="Z1265" s="104"/>
      <c r="AA1265" s="104"/>
      <c r="AB1265" s="104"/>
      <c r="AC1265" s="104"/>
      <c r="AD1265" s="104"/>
    </row>
    <row r="1266" spans="1:30" ht="12.75">
      <c r="A1266" s="104"/>
      <c r="B1266" s="104"/>
      <c r="C1266" s="104"/>
      <c r="D1266" s="104"/>
      <c r="E1266" s="104"/>
      <c r="F1266" s="193"/>
      <c r="G1266" s="104"/>
      <c r="H1266" s="104"/>
      <c r="I1266" s="104"/>
      <c r="J1266" s="104"/>
      <c r="K1266" s="104"/>
      <c r="L1266" s="104"/>
      <c r="M1266" s="104"/>
      <c r="N1266" s="104"/>
      <c r="O1266" s="104"/>
      <c r="P1266" s="104"/>
      <c r="Q1266" s="104"/>
      <c r="R1266" s="104"/>
      <c r="S1266" s="104"/>
      <c r="T1266" s="104"/>
      <c r="U1266" s="104"/>
      <c r="V1266" s="104"/>
      <c r="W1266" s="104"/>
      <c r="X1266" s="104"/>
      <c r="Y1266" s="104"/>
      <c r="Z1266" s="104"/>
      <c r="AA1266" s="104"/>
      <c r="AB1266" s="104"/>
      <c r="AC1266" s="104"/>
      <c r="AD1266" s="104"/>
    </row>
    <row r="1267" spans="1:30" ht="12.75">
      <c r="A1267" s="104"/>
      <c r="B1267" s="104"/>
      <c r="C1267" s="104"/>
      <c r="D1267" s="104"/>
      <c r="E1267" s="104"/>
      <c r="F1267" s="193"/>
      <c r="G1267" s="104"/>
      <c r="H1267" s="104"/>
      <c r="I1267" s="104"/>
      <c r="J1267" s="104"/>
      <c r="K1267" s="104"/>
      <c r="L1267" s="104"/>
      <c r="M1267" s="104"/>
      <c r="N1267" s="104"/>
      <c r="O1267" s="104"/>
      <c r="P1267" s="104"/>
      <c r="Q1267" s="104"/>
      <c r="R1267" s="104"/>
      <c r="S1267" s="104"/>
      <c r="T1267" s="104"/>
      <c r="U1267" s="104"/>
      <c r="V1267" s="104"/>
      <c r="W1267" s="104"/>
      <c r="X1267" s="104"/>
      <c r="Y1267" s="104"/>
      <c r="Z1267" s="104"/>
      <c r="AA1267" s="104"/>
      <c r="AB1267" s="104"/>
      <c r="AC1267" s="104"/>
      <c r="AD1267" s="104"/>
    </row>
    <row r="1268" spans="1:30" ht="12.75">
      <c r="A1268" s="104"/>
      <c r="B1268" s="104"/>
      <c r="C1268" s="104"/>
      <c r="D1268" s="104"/>
      <c r="E1268" s="104"/>
      <c r="F1268" s="193"/>
      <c r="G1268" s="104"/>
      <c r="H1268" s="104"/>
      <c r="I1268" s="104"/>
      <c r="J1268" s="104"/>
      <c r="K1268" s="104"/>
      <c r="L1268" s="104"/>
      <c r="M1268" s="104"/>
      <c r="N1268" s="104"/>
      <c r="O1268" s="104"/>
      <c r="P1268" s="104"/>
      <c r="Q1268" s="104"/>
      <c r="R1268" s="104"/>
      <c r="S1268" s="104"/>
      <c r="T1268" s="104"/>
      <c r="U1268" s="104"/>
      <c r="V1268" s="104"/>
      <c r="W1268" s="104"/>
      <c r="X1268" s="104"/>
      <c r="Y1268" s="104"/>
      <c r="Z1268" s="104"/>
      <c r="AA1268" s="104"/>
      <c r="AB1268" s="104"/>
      <c r="AC1268" s="104"/>
      <c r="AD1268" s="104"/>
    </row>
    <row r="1269" spans="1:30" ht="12.75">
      <c r="A1269" s="104"/>
      <c r="B1269" s="104"/>
      <c r="C1269" s="104"/>
      <c r="D1269" s="104"/>
      <c r="E1269" s="104"/>
      <c r="F1269" s="193"/>
      <c r="G1269" s="104"/>
      <c r="H1269" s="104"/>
      <c r="I1269" s="104"/>
      <c r="J1269" s="104"/>
      <c r="K1269" s="104"/>
      <c r="L1269" s="104"/>
      <c r="M1269" s="104"/>
      <c r="N1269" s="104"/>
      <c r="O1269" s="104"/>
      <c r="P1269" s="104"/>
      <c r="Q1269" s="104"/>
      <c r="R1269" s="104"/>
      <c r="S1269" s="104"/>
      <c r="T1269" s="104"/>
      <c r="U1269" s="104"/>
      <c r="V1269" s="104"/>
      <c r="W1269" s="104"/>
      <c r="X1269" s="104"/>
      <c r="Y1269" s="104"/>
      <c r="Z1269" s="104"/>
      <c r="AA1269" s="104"/>
      <c r="AB1269" s="104"/>
      <c r="AC1269" s="104"/>
      <c r="AD1269" s="104"/>
    </row>
    <row r="1270" spans="1:30" ht="12.75">
      <c r="A1270" s="104"/>
      <c r="B1270" s="104"/>
      <c r="C1270" s="104"/>
      <c r="D1270" s="104"/>
      <c r="E1270" s="104"/>
      <c r="F1270" s="193"/>
      <c r="G1270" s="104"/>
      <c r="H1270" s="104"/>
      <c r="I1270" s="104"/>
      <c r="J1270" s="104"/>
      <c r="K1270" s="104"/>
      <c r="L1270" s="104"/>
      <c r="M1270" s="104"/>
      <c r="N1270" s="104"/>
      <c r="O1270" s="104"/>
      <c r="P1270" s="104"/>
      <c r="Q1270" s="104"/>
      <c r="R1270" s="104"/>
      <c r="S1270" s="104"/>
      <c r="T1270" s="104"/>
      <c r="U1270" s="104"/>
      <c r="V1270" s="104"/>
      <c r="W1270" s="104"/>
      <c r="X1270" s="104"/>
      <c r="Y1270" s="104"/>
      <c r="Z1270" s="104"/>
      <c r="AA1270" s="104"/>
      <c r="AB1270" s="104"/>
      <c r="AC1270" s="104"/>
      <c r="AD1270" s="104"/>
    </row>
    <row r="1271" spans="1:30" ht="12.75">
      <c r="A1271" s="104"/>
      <c r="B1271" s="104"/>
      <c r="C1271" s="104"/>
      <c r="D1271" s="104"/>
      <c r="E1271" s="104"/>
      <c r="F1271" s="193"/>
      <c r="G1271" s="104"/>
      <c r="H1271" s="104"/>
      <c r="I1271" s="104"/>
      <c r="J1271" s="104"/>
      <c r="K1271" s="104"/>
      <c r="L1271" s="104"/>
      <c r="M1271" s="104"/>
      <c r="N1271" s="104"/>
      <c r="O1271" s="104"/>
      <c r="P1271" s="104"/>
      <c r="Q1271" s="104"/>
      <c r="R1271" s="104"/>
      <c r="S1271" s="104"/>
      <c r="T1271" s="104"/>
      <c r="U1271" s="104"/>
      <c r="V1271" s="104"/>
      <c r="W1271" s="104"/>
      <c r="X1271" s="104"/>
      <c r="Y1271" s="104"/>
      <c r="Z1271" s="104"/>
      <c r="AA1271" s="104"/>
      <c r="AB1271" s="104"/>
      <c r="AC1271" s="104"/>
      <c r="AD1271" s="104"/>
    </row>
    <row r="1272" spans="1:30" ht="12.75">
      <c r="A1272" s="104"/>
      <c r="B1272" s="104"/>
      <c r="C1272" s="104"/>
      <c r="D1272" s="104"/>
      <c r="E1272" s="104"/>
      <c r="F1272" s="193"/>
      <c r="G1272" s="104"/>
      <c r="H1272" s="104"/>
      <c r="I1272" s="104"/>
      <c r="J1272" s="104"/>
      <c r="K1272" s="104"/>
      <c r="L1272" s="104"/>
      <c r="M1272" s="104"/>
      <c r="N1272" s="104"/>
      <c r="O1272" s="104"/>
      <c r="P1272" s="104"/>
      <c r="Q1272" s="104"/>
      <c r="R1272" s="104"/>
      <c r="S1272" s="104"/>
      <c r="T1272" s="104"/>
      <c r="U1272" s="104"/>
      <c r="V1272" s="104"/>
      <c r="W1272" s="104"/>
      <c r="X1272" s="104"/>
      <c r="Y1272" s="104"/>
      <c r="Z1272" s="104"/>
      <c r="AA1272" s="104"/>
      <c r="AB1272" s="104"/>
      <c r="AC1272" s="104"/>
      <c r="AD1272" s="104"/>
    </row>
    <row r="1273" spans="1:30" ht="12.75">
      <c r="A1273" s="104"/>
      <c r="B1273" s="104"/>
      <c r="C1273" s="104"/>
      <c r="D1273" s="104"/>
      <c r="E1273" s="104"/>
      <c r="F1273" s="193"/>
      <c r="G1273" s="104"/>
      <c r="H1273" s="104"/>
      <c r="I1273" s="104"/>
      <c r="J1273" s="104"/>
      <c r="K1273" s="104"/>
      <c r="L1273" s="104"/>
      <c r="M1273" s="104"/>
      <c r="N1273" s="104"/>
      <c r="O1273" s="104"/>
      <c r="P1273" s="104"/>
      <c r="Q1273" s="104"/>
      <c r="R1273" s="104"/>
      <c r="S1273" s="104"/>
      <c r="T1273" s="104"/>
      <c r="U1273" s="104"/>
      <c r="V1273" s="104"/>
      <c r="W1273" s="104"/>
      <c r="X1273" s="104"/>
      <c r="Y1273" s="104"/>
      <c r="Z1273" s="104"/>
      <c r="AA1273" s="104"/>
      <c r="AB1273" s="104"/>
      <c r="AC1273" s="104"/>
      <c r="AD1273" s="104"/>
    </row>
    <row r="1274" spans="1:30" ht="12.75">
      <c r="A1274" s="104"/>
      <c r="B1274" s="104"/>
      <c r="C1274" s="104"/>
      <c r="D1274" s="104"/>
      <c r="E1274" s="104"/>
      <c r="F1274" s="193"/>
      <c r="G1274" s="104"/>
      <c r="H1274" s="104"/>
      <c r="I1274" s="104"/>
      <c r="J1274" s="104"/>
      <c r="K1274" s="104"/>
      <c r="L1274" s="104"/>
      <c r="M1274" s="104"/>
      <c r="N1274" s="104"/>
      <c r="O1274" s="104"/>
      <c r="P1274" s="104"/>
      <c r="Q1274" s="104"/>
      <c r="R1274" s="104"/>
      <c r="S1274" s="104"/>
      <c r="T1274" s="104"/>
      <c r="U1274" s="104"/>
      <c r="V1274" s="104"/>
      <c r="W1274" s="104"/>
      <c r="X1274" s="104"/>
      <c r="Y1274" s="104"/>
      <c r="Z1274" s="104"/>
      <c r="AA1274" s="104"/>
      <c r="AB1274" s="104"/>
      <c r="AC1274" s="104"/>
      <c r="AD1274" s="104"/>
    </row>
    <row r="1275" spans="1:30" ht="12.75">
      <c r="A1275" s="104"/>
      <c r="B1275" s="104"/>
      <c r="C1275" s="104"/>
      <c r="D1275" s="104"/>
      <c r="E1275" s="104"/>
      <c r="F1275" s="193"/>
      <c r="G1275" s="104"/>
      <c r="H1275" s="104"/>
      <c r="I1275" s="104"/>
      <c r="J1275" s="104"/>
      <c r="K1275" s="104"/>
      <c r="L1275" s="104"/>
      <c r="M1275" s="104"/>
      <c r="N1275" s="104"/>
      <c r="O1275" s="104"/>
      <c r="P1275" s="104"/>
      <c r="Q1275" s="104"/>
      <c r="R1275" s="104"/>
      <c r="S1275" s="104"/>
      <c r="T1275" s="104"/>
      <c r="U1275" s="104"/>
      <c r="V1275" s="104"/>
      <c r="W1275" s="104"/>
      <c r="X1275" s="104"/>
      <c r="Y1275" s="104"/>
      <c r="Z1275" s="104"/>
      <c r="AA1275" s="104"/>
      <c r="AB1275" s="104"/>
      <c r="AC1275" s="104"/>
      <c r="AD1275" s="104"/>
    </row>
    <row r="1276" spans="1:30" ht="12.75">
      <c r="A1276" s="104"/>
      <c r="B1276" s="104"/>
      <c r="C1276" s="104"/>
      <c r="D1276" s="104"/>
      <c r="E1276" s="104"/>
      <c r="F1276" s="193"/>
      <c r="G1276" s="104"/>
      <c r="H1276" s="104"/>
      <c r="I1276" s="104"/>
      <c r="J1276" s="104"/>
      <c r="K1276" s="104"/>
      <c r="L1276" s="104"/>
      <c r="M1276" s="104"/>
      <c r="N1276" s="104"/>
      <c r="O1276" s="104"/>
      <c r="P1276" s="104"/>
      <c r="Q1276" s="104"/>
      <c r="R1276" s="104"/>
      <c r="S1276" s="104"/>
      <c r="T1276" s="104"/>
      <c r="U1276" s="104"/>
      <c r="V1276" s="104"/>
      <c r="W1276" s="104"/>
      <c r="X1276" s="104"/>
      <c r="Y1276" s="104"/>
      <c r="Z1276" s="104"/>
      <c r="AA1276" s="104"/>
      <c r="AB1276" s="104"/>
      <c r="AC1276" s="104"/>
      <c r="AD1276" s="104"/>
    </row>
    <row r="1277" spans="1:30" ht="12.75">
      <c r="A1277" s="104"/>
      <c r="B1277" s="104"/>
      <c r="C1277" s="104"/>
      <c r="D1277" s="104"/>
      <c r="E1277" s="104"/>
      <c r="F1277" s="193"/>
      <c r="G1277" s="104"/>
      <c r="H1277" s="104"/>
      <c r="I1277" s="104"/>
      <c r="J1277" s="104"/>
      <c r="K1277" s="104"/>
      <c r="L1277" s="104"/>
      <c r="M1277" s="104"/>
      <c r="N1277" s="104"/>
      <c r="O1277" s="104"/>
      <c r="P1277" s="104"/>
      <c r="Q1277" s="104"/>
      <c r="R1277" s="104"/>
      <c r="S1277" s="104"/>
      <c r="T1277" s="104"/>
      <c r="U1277" s="104"/>
      <c r="V1277" s="104"/>
      <c r="W1277" s="104"/>
      <c r="X1277" s="104"/>
      <c r="Y1277" s="104"/>
      <c r="Z1277" s="104"/>
      <c r="AA1277" s="104"/>
      <c r="AB1277" s="104"/>
      <c r="AC1277" s="104"/>
      <c r="AD1277" s="104"/>
    </row>
    <row r="1278" spans="1:30" ht="12.75">
      <c r="A1278" s="104"/>
      <c r="B1278" s="104"/>
      <c r="C1278" s="104"/>
      <c r="D1278" s="104"/>
      <c r="E1278" s="104"/>
      <c r="F1278" s="193"/>
      <c r="G1278" s="104"/>
      <c r="H1278" s="104"/>
      <c r="I1278" s="104"/>
      <c r="J1278" s="104"/>
      <c r="K1278" s="104"/>
      <c r="L1278" s="104"/>
      <c r="M1278" s="104"/>
      <c r="N1278" s="104"/>
      <c r="O1278" s="104"/>
      <c r="P1278" s="104"/>
      <c r="Q1278" s="104"/>
      <c r="R1278" s="104"/>
      <c r="S1278" s="104"/>
      <c r="T1278" s="104"/>
      <c r="U1278" s="104"/>
      <c r="V1278" s="104"/>
      <c r="W1278" s="104"/>
      <c r="X1278" s="104"/>
      <c r="Y1278" s="104"/>
      <c r="Z1278" s="104"/>
      <c r="AA1278" s="104"/>
      <c r="AB1278" s="104"/>
      <c r="AC1278" s="104"/>
      <c r="AD1278" s="104"/>
    </row>
    <row r="1279" spans="1:30" ht="12.75">
      <c r="A1279" s="104"/>
      <c r="B1279" s="104"/>
      <c r="C1279" s="104"/>
      <c r="D1279" s="104"/>
      <c r="E1279" s="104"/>
      <c r="F1279" s="193"/>
      <c r="G1279" s="104"/>
      <c r="H1279" s="104"/>
      <c r="I1279" s="104"/>
      <c r="J1279" s="104"/>
      <c r="K1279" s="104"/>
      <c r="L1279" s="104"/>
      <c r="M1279" s="104"/>
      <c r="N1279" s="104"/>
      <c r="O1279" s="104"/>
      <c r="P1279" s="104"/>
      <c r="Q1279" s="104"/>
      <c r="R1279" s="104"/>
      <c r="S1279" s="104"/>
      <c r="T1279" s="104"/>
      <c r="U1279" s="104"/>
      <c r="V1279" s="104"/>
      <c r="W1279" s="104"/>
      <c r="X1279" s="104"/>
      <c r="Y1279" s="104"/>
      <c r="Z1279" s="104"/>
      <c r="AA1279" s="104"/>
      <c r="AB1279" s="104"/>
      <c r="AC1279" s="104"/>
      <c r="AD1279" s="104"/>
    </row>
    <row r="1280" spans="1:30" ht="12.75">
      <c r="A1280" s="104"/>
      <c r="B1280" s="104"/>
      <c r="C1280" s="104"/>
      <c r="D1280" s="104"/>
      <c r="E1280" s="104"/>
      <c r="F1280" s="193"/>
      <c r="G1280" s="104"/>
      <c r="H1280" s="104"/>
      <c r="I1280" s="104"/>
      <c r="J1280" s="104"/>
      <c r="K1280" s="104"/>
      <c r="L1280" s="104"/>
      <c r="M1280" s="104"/>
      <c r="N1280" s="104"/>
      <c r="O1280" s="104"/>
      <c r="P1280" s="104"/>
      <c r="Q1280" s="104"/>
      <c r="R1280" s="104"/>
      <c r="S1280" s="104"/>
      <c r="T1280" s="104"/>
      <c r="U1280" s="104"/>
      <c r="V1280" s="104"/>
      <c r="W1280" s="104"/>
      <c r="X1280" s="104"/>
      <c r="Y1280" s="104"/>
      <c r="Z1280" s="104"/>
      <c r="AA1280" s="104"/>
      <c r="AB1280" s="104"/>
      <c r="AC1280" s="104"/>
      <c r="AD1280" s="104"/>
    </row>
    <row r="1281" spans="1:30" ht="12.75">
      <c r="A1281" s="104"/>
      <c r="B1281" s="104"/>
      <c r="C1281" s="104"/>
      <c r="D1281" s="104"/>
      <c r="E1281" s="104"/>
      <c r="F1281" s="193"/>
      <c r="G1281" s="104"/>
      <c r="H1281" s="104"/>
      <c r="I1281" s="104"/>
      <c r="J1281" s="104"/>
      <c r="K1281" s="104"/>
      <c r="L1281" s="104"/>
      <c r="M1281" s="104"/>
      <c r="N1281" s="104"/>
      <c r="O1281" s="104"/>
      <c r="P1281" s="104"/>
      <c r="Q1281" s="104"/>
      <c r="R1281" s="104"/>
      <c r="S1281" s="104"/>
      <c r="T1281" s="104"/>
      <c r="U1281" s="104"/>
      <c r="V1281" s="104"/>
      <c r="W1281" s="104"/>
      <c r="X1281" s="104"/>
      <c r="Y1281" s="104"/>
      <c r="Z1281" s="104"/>
      <c r="AA1281" s="104"/>
      <c r="AB1281" s="104"/>
      <c r="AC1281" s="104"/>
      <c r="AD1281" s="104"/>
    </row>
    <row r="1282" spans="1:30" ht="12.75">
      <c r="A1282" s="104"/>
      <c r="B1282" s="104"/>
      <c r="C1282" s="104"/>
      <c r="D1282" s="104"/>
      <c r="E1282" s="104"/>
      <c r="F1282" s="193"/>
      <c r="G1282" s="104"/>
      <c r="H1282" s="104"/>
      <c r="I1282" s="104"/>
      <c r="J1282" s="104"/>
      <c r="K1282" s="104"/>
      <c r="L1282" s="104"/>
      <c r="M1282" s="104"/>
      <c r="N1282" s="104"/>
      <c r="O1282" s="104"/>
      <c r="P1282" s="104"/>
      <c r="Q1282" s="104"/>
      <c r="R1282" s="104"/>
      <c r="S1282" s="104"/>
      <c r="T1282" s="104"/>
      <c r="U1282" s="104"/>
      <c r="V1282" s="104"/>
      <c r="W1282" s="104"/>
      <c r="X1282" s="104"/>
      <c r="Y1282" s="104"/>
      <c r="Z1282" s="104"/>
      <c r="AA1282" s="104"/>
      <c r="AB1282" s="104"/>
      <c r="AC1282" s="104"/>
      <c r="AD1282" s="104"/>
    </row>
    <row r="1283" spans="1:30" ht="12.75">
      <c r="A1283" s="104"/>
      <c r="B1283" s="104"/>
      <c r="C1283" s="104"/>
      <c r="D1283" s="104"/>
      <c r="E1283" s="104"/>
      <c r="F1283" s="193"/>
      <c r="G1283" s="104"/>
      <c r="H1283" s="104"/>
      <c r="I1283" s="104"/>
      <c r="J1283" s="104"/>
      <c r="K1283" s="104"/>
      <c r="L1283" s="104"/>
      <c r="M1283" s="104"/>
      <c r="N1283" s="104"/>
      <c r="O1283" s="104"/>
      <c r="P1283" s="104"/>
      <c r="Q1283" s="104"/>
      <c r="R1283" s="104"/>
      <c r="S1283" s="104"/>
      <c r="T1283" s="104"/>
      <c r="U1283" s="104"/>
      <c r="V1283" s="104"/>
      <c r="W1283" s="104"/>
      <c r="X1283" s="104"/>
      <c r="Y1283" s="104"/>
      <c r="Z1283" s="104"/>
      <c r="AA1283" s="104"/>
      <c r="AB1283" s="104"/>
      <c r="AC1283" s="104"/>
      <c r="AD1283" s="104"/>
    </row>
    <row r="1284" spans="1:30" ht="12.75">
      <c r="A1284" s="104"/>
      <c r="B1284" s="104"/>
      <c r="C1284" s="104"/>
      <c r="D1284" s="104"/>
      <c r="E1284" s="104"/>
      <c r="F1284" s="193"/>
      <c r="G1284" s="104"/>
      <c r="H1284" s="104"/>
      <c r="I1284" s="104"/>
      <c r="J1284" s="104"/>
      <c r="K1284" s="104"/>
      <c r="L1284" s="104"/>
      <c r="M1284" s="104"/>
      <c r="N1284" s="104"/>
      <c r="O1284" s="104"/>
      <c r="P1284" s="104"/>
      <c r="Q1284" s="104"/>
      <c r="R1284" s="104"/>
      <c r="S1284" s="104"/>
      <c r="T1284" s="104"/>
      <c r="U1284" s="104"/>
      <c r="V1284" s="104"/>
      <c r="W1284" s="104"/>
      <c r="X1284" s="104"/>
      <c r="Y1284" s="104"/>
      <c r="Z1284" s="104"/>
      <c r="AA1284" s="104"/>
      <c r="AB1284" s="104"/>
      <c r="AC1284" s="104"/>
      <c r="AD1284" s="104"/>
    </row>
    <row r="1285" spans="1:30" ht="12.75">
      <c r="A1285" s="104"/>
      <c r="B1285" s="104"/>
      <c r="C1285" s="104"/>
      <c r="D1285" s="104"/>
      <c r="E1285" s="104"/>
      <c r="F1285" s="193"/>
      <c r="G1285" s="104"/>
      <c r="H1285" s="104"/>
      <c r="I1285" s="104"/>
      <c r="J1285" s="104"/>
      <c r="K1285" s="104"/>
      <c r="L1285" s="104"/>
      <c r="M1285" s="104"/>
      <c r="N1285" s="104"/>
      <c r="O1285" s="104"/>
      <c r="P1285" s="104"/>
      <c r="Q1285" s="104"/>
      <c r="R1285" s="104"/>
      <c r="S1285" s="104"/>
      <c r="T1285" s="104"/>
      <c r="U1285" s="104"/>
      <c r="V1285" s="104"/>
      <c r="W1285" s="104"/>
      <c r="X1285" s="104"/>
      <c r="Y1285" s="104"/>
      <c r="Z1285" s="104"/>
      <c r="AA1285" s="104"/>
      <c r="AB1285" s="104"/>
      <c r="AC1285" s="104"/>
      <c r="AD1285" s="104"/>
    </row>
    <row r="1286" spans="1:30" ht="12.75">
      <c r="A1286" s="104"/>
      <c r="B1286" s="104"/>
      <c r="C1286" s="104"/>
      <c r="D1286" s="104"/>
      <c r="E1286" s="104"/>
      <c r="F1286" s="193"/>
      <c r="G1286" s="104"/>
      <c r="H1286" s="104"/>
      <c r="I1286" s="104"/>
      <c r="J1286" s="104"/>
      <c r="K1286" s="104"/>
      <c r="L1286" s="104"/>
      <c r="M1286" s="104"/>
      <c r="N1286" s="104"/>
      <c r="O1286" s="104"/>
      <c r="P1286" s="104"/>
      <c r="Q1286" s="104"/>
      <c r="R1286" s="104"/>
      <c r="S1286" s="104"/>
      <c r="T1286" s="104"/>
      <c r="U1286" s="104"/>
      <c r="V1286" s="104"/>
      <c r="W1286" s="104"/>
      <c r="X1286" s="104"/>
      <c r="Y1286" s="104"/>
      <c r="Z1286" s="104"/>
      <c r="AA1286" s="104"/>
      <c r="AB1286" s="104"/>
      <c r="AC1286" s="104"/>
      <c r="AD1286" s="104"/>
    </row>
    <row r="1287" spans="1:30" ht="12.75">
      <c r="A1287" s="104"/>
      <c r="B1287" s="104"/>
      <c r="C1287" s="104"/>
      <c r="D1287" s="104"/>
      <c r="E1287" s="104"/>
      <c r="F1287" s="193"/>
      <c r="G1287" s="104"/>
      <c r="H1287" s="104"/>
      <c r="I1287" s="104"/>
      <c r="J1287" s="104"/>
      <c r="K1287" s="104"/>
      <c r="L1287" s="104"/>
      <c r="M1287" s="104"/>
      <c r="N1287" s="104"/>
      <c r="O1287" s="104"/>
      <c r="P1287" s="104"/>
      <c r="Q1287" s="104"/>
      <c r="R1287" s="104"/>
      <c r="S1287" s="104"/>
      <c r="T1287" s="104"/>
      <c r="U1287" s="104"/>
      <c r="V1287" s="104"/>
      <c r="W1287" s="104"/>
      <c r="X1287" s="104"/>
      <c r="Y1287" s="104"/>
      <c r="Z1287" s="104"/>
      <c r="AA1287" s="104"/>
      <c r="AB1287" s="104"/>
      <c r="AC1287" s="104"/>
      <c r="AD1287" s="104"/>
    </row>
    <row r="1288" spans="1:30" ht="12.75">
      <c r="A1288" s="104"/>
      <c r="B1288" s="104"/>
      <c r="C1288" s="104"/>
      <c r="D1288" s="104"/>
      <c r="E1288" s="104"/>
      <c r="F1288" s="193"/>
      <c r="G1288" s="104"/>
      <c r="H1288" s="104"/>
      <c r="I1288" s="104"/>
      <c r="J1288" s="104"/>
      <c r="K1288" s="104"/>
      <c r="L1288" s="104"/>
      <c r="M1288" s="104"/>
      <c r="N1288" s="104"/>
      <c r="O1288" s="104"/>
      <c r="P1288" s="104"/>
      <c r="Q1288" s="104"/>
      <c r="R1288" s="104"/>
      <c r="S1288" s="104"/>
      <c r="T1288" s="104"/>
      <c r="U1288" s="104"/>
      <c r="V1288" s="104"/>
      <c r="W1288" s="104"/>
      <c r="X1288" s="104"/>
      <c r="Y1288" s="104"/>
      <c r="Z1288" s="104"/>
      <c r="AA1288" s="104"/>
      <c r="AB1288" s="104"/>
      <c r="AC1288" s="104"/>
      <c r="AD1288" s="104"/>
    </row>
    <row r="1289" spans="1:30" ht="12.75">
      <c r="A1289" s="104"/>
      <c r="B1289" s="104"/>
      <c r="C1289" s="104"/>
      <c r="D1289" s="104"/>
      <c r="E1289" s="104"/>
      <c r="F1289" s="193"/>
      <c r="G1289" s="104"/>
      <c r="H1289" s="104"/>
      <c r="I1289" s="104"/>
      <c r="J1289" s="104"/>
      <c r="K1289" s="104"/>
      <c r="L1289" s="104"/>
      <c r="M1289" s="104"/>
      <c r="N1289" s="104"/>
      <c r="O1289" s="104"/>
      <c r="P1289" s="104"/>
      <c r="Q1289" s="104"/>
      <c r="R1289" s="104"/>
      <c r="S1289" s="104"/>
      <c r="T1289" s="104"/>
      <c r="U1289" s="104"/>
      <c r="V1289" s="104"/>
      <c r="W1289" s="104"/>
      <c r="X1289" s="104"/>
      <c r="Y1289" s="104"/>
      <c r="Z1289" s="104"/>
      <c r="AA1289" s="104"/>
      <c r="AB1289" s="104"/>
      <c r="AC1289" s="104"/>
      <c r="AD1289" s="104"/>
    </row>
    <row r="1290" spans="1:30" ht="12.75">
      <c r="A1290" s="104"/>
      <c r="B1290" s="104"/>
      <c r="C1290" s="104"/>
      <c r="D1290" s="104"/>
      <c r="E1290" s="104"/>
      <c r="F1290" s="193"/>
      <c r="G1290" s="104"/>
      <c r="H1290" s="104"/>
      <c r="I1290" s="104"/>
      <c r="J1290" s="104"/>
      <c r="K1290" s="104"/>
      <c r="L1290" s="104"/>
      <c r="M1290" s="104"/>
      <c r="N1290" s="104"/>
      <c r="O1290" s="104"/>
      <c r="P1290" s="104"/>
      <c r="Q1290" s="104"/>
      <c r="R1290" s="104"/>
      <c r="S1290" s="104"/>
      <c r="T1290" s="104"/>
      <c r="U1290" s="104"/>
      <c r="V1290" s="104"/>
      <c r="W1290" s="104"/>
      <c r="X1290" s="104"/>
      <c r="Y1290" s="104"/>
      <c r="Z1290" s="104"/>
      <c r="AA1290" s="104"/>
      <c r="AB1290" s="104"/>
      <c r="AC1290" s="104"/>
      <c r="AD1290" s="104"/>
    </row>
    <row r="1291" spans="1:30" ht="12.75">
      <c r="A1291" s="104"/>
      <c r="B1291" s="104"/>
      <c r="C1291" s="104"/>
      <c r="D1291" s="104"/>
      <c r="E1291" s="104"/>
      <c r="F1291" s="193"/>
      <c r="G1291" s="104"/>
      <c r="H1291" s="104"/>
      <c r="I1291" s="104"/>
      <c r="J1291" s="104"/>
      <c r="K1291" s="104"/>
      <c r="L1291" s="104"/>
      <c r="M1291" s="104"/>
      <c r="N1291" s="104"/>
      <c r="O1291" s="104"/>
      <c r="P1291" s="104"/>
      <c r="Q1291" s="104"/>
      <c r="R1291" s="104"/>
      <c r="S1291" s="104"/>
      <c r="T1291" s="104"/>
      <c r="U1291" s="104"/>
      <c r="V1291" s="104"/>
      <c r="W1291" s="104"/>
      <c r="X1291" s="104"/>
      <c r="Y1291" s="104"/>
      <c r="Z1291" s="104"/>
      <c r="AA1291" s="104"/>
      <c r="AB1291" s="104"/>
      <c r="AC1291" s="104"/>
      <c r="AD1291" s="104"/>
    </row>
    <row r="1292" spans="1:30" ht="12.75">
      <c r="A1292" s="104"/>
      <c r="B1292" s="104"/>
      <c r="C1292" s="104"/>
      <c r="D1292" s="104"/>
      <c r="E1292" s="104"/>
      <c r="F1292" s="193"/>
      <c r="G1292" s="104"/>
      <c r="H1292" s="104"/>
      <c r="I1292" s="104"/>
      <c r="J1292" s="104"/>
      <c r="K1292" s="104"/>
      <c r="L1292" s="104"/>
      <c r="M1292" s="104"/>
      <c r="N1292" s="104"/>
      <c r="O1292" s="104"/>
      <c r="P1292" s="104"/>
      <c r="Q1292" s="104"/>
      <c r="R1292" s="104"/>
      <c r="S1292" s="104"/>
      <c r="T1292" s="104"/>
      <c r="U1292" s="104"/>
      <c r="V1292" s="104"/>
      <c r="W1292" s="104"/>
      <c r="X1292" s="104"/>
      <c r="Y1292" s="104"/>
      <c r="Z1292" s="104"/>
      <c r="AA1292" s="104"/>
      <c r="AB1292" s="104"/>
      <c r="AC1292" s="104"/>
      <c r="AD1292" s="104"/>
    </row>
    <row r="1293" spans="1:30" ht="12.75">
      <c r="A1293" s="104"/>
      <c r="B1293" s="104"/>
      <c r="C1293" s="104"/>
      <c r="D1293" s="104"/>
      <c r="E1293" s="104"/>
      <c r="F1293" s="193"/>
      <c r="G1293" s="104"/>
      <c r="H1293" s="104"/>
      <c r="I1293" s="104"/>
      <c r="J1293" s="104"/>
      <c r="K1293" s="104"/>
      <c r="L1293" s="104"/>
      <c r="M1293" s="104"/>
      <c r="N1293" s="104"/>
      <c r="O1293" s="104"/>
      <c r="P1293" s="104"/>
      <c r="Q1293" s="104"/>
      <c r="R1293" s="104"/>
      <c r="S1293" s="104"/>
      <c r="T1293" s="104"/>
      <c r="U1293" s="104"/>
      <c r="V1293" s="104"/>
      <c r="W1293" s="104"/>
      <c r="X1293" s="104"/>
      <c r="Y1293" s="104"/>
      <c r="Z1293" s="104"/>
      <c r="AA1293" s="104"/>
      <c r="AB1293" s="104"/>
      <c r="AC1293" s="104"/>
      <c r="AD1293" s="104"/>
    </row>
    <row r="1294" spans="1:30" ht="12.75">
      <c r="A1294" s="104"/>
      <c r="B1294" s="104"/>
      <c r="C1294" s="104"/>
      <c r="D1294" s="104"/>
      <c r="E1294" s="104"/>
      <c r="F1294" s="193"/>
      <c r="G1294" s="104"/>
      <c r="H1294" s="104"/>
      <c r="I1294" s="104"/>
      <c r="J1294" s="104"/>
      <c r="K1294" s="104"/>
      <c r="L1294" s="104"/>
      <c r="M1294" s="104"/>
      <c r="N1294" s="104"/>
      <c r="O1294" s="104"/>
      <c r="P1294" s="104"/>
      <c r="Q1294" s="104"/>
      <c r="R1294" s="104"/>
      <c r="S1294" s="104"/>
      <c r="T1294" s="104"/>
      <c r="U1294" s="104"/>
      <c r="V1294" s="104"/>
      <c r="W1294" s="104"/>
      <c r="X1294" s="104"/>
      <c r="Y1294" s="104"/>
      <c r="Z1294" s="104"/>
      <c r="AA1294" s="104"/>
      <c r="AB1294" s="104"/>
      <c r="AC1294" s="104"/>
      <c r="AD1294" s="104"/>
    </row>
    <row r="1295" spans="1:30" ht="12.75">
      <c r="A1295" s="104"/>
      <c r="B1295" s="104"/>
      <c r="C1295" s="104"/>
      <c r="D1295" s="104"/>
      <c r="E1295" s="104"/>
      <c r="F1295" s="193"/>
      <c r="G1295" s="104"/>
      <c r="H1295" s="104"/>
      <c r="I1295" s="104"/>
      <c r="J1295" s="104"/>
      <c r="K1295" s="104"/>
      <c r="L1295" s="104"/>
      <c r="M1295" s="104"/>
      <c r="N1295" s="104"/>
      <c r="O1295" s="104"/>
      <c r="P1295" s="104"/>
      <c r="Q1295" s="104"/>
      <c r="R1295" s="104"/>
      <c r="S1295" s="104"/>
      <c r="T1295" s="104"/>
      <c r="U1295" s="104"/>
      <c r="V1295" s="104"/>
      <c r="W1295" s="104"/>
      <c r="X1295" s="104"/>
      <c r="Y1295" s="104"/>
      <c r="Z1295" s="104"/>
      <c r="AA1295" s="104"/>
      <c r="AB1295" s="104"/>
      <c r="AC1295" s="104"/>
      <c r="AD1295" s="104"/>
    </row>
    <row r="1296" spans="1:30" ht="12.75">
      <c r="A1296" s="104"/>
      <c r="B1296" s="104"/>
      <c r="C1296" s="104"/>
      <c r="D1296" s="104"/>
      <c r="E1296" s="104"/>
      <c r="F1296" s="193"/>
      <c r="G1296" s="104"/>
      <c r="H1296" s="104"/>
      <c r="I1296" s="104"/>
      <c r="J1296" s="104"/>
      <c r="K1296" s="104"/>
      <c r="L1296" s="104"/>
      <c r="M1296" s="104"/>
      <c r="N1296" s="104"/>
      <c r="O1296" s="104"/>
      <c r="P1296" s="104"/>
      <c r="Q1296" s="104"/>
      <c r="R1296" s="104"/>
      <c r="S1296" s="104"/>
      <c r="T1296" s="104"/>
      <c r="U1296" s="104"/>
      <c r="V1296" s="104"/>
      <c r="W1296" s="104"/>
      <c r="X1296" s="104"/>
      <c r="Y1296" s="104"/>
      <c r="Z1296" s="104"/>
      <c r="AA1296" s="104"/>
      <c r="AB1296" s="104"/>
      <c r="AC1296" s="104"/>
      <c r="AD1296" s="104"/>
    </row>
    <row r="1297" spans="1:30" ht="12.75">
      <c r="A1297" s="104"/>
      <c r="B1297" s="104"/>
      <c r="C1297" s="104"/>
      <c r="D1297" s="104"/>
      <c r="E1297" s="104"/>
      <c r="F1297" s="193"/>
      <c r="G1297" s="104"/>
      <c r="H1297" s="104"/>
      <c r="I1297" s="104"/>
      <c r="J1297" s="104"/>
      <c r="K1297" s="104"/>
      <c r="L1297" s="104"/>
      <c r="M1297" s="104"/>
      <c r="N1297" s="104"/>
      <c r="O1297" s="104"/>
      <c r="P1297" s="104"/>
      <c r="Q1297" s="104"/>
      <c r="R1297" s="104"/>
      <c r="S1297" s="104"/>
      <c r="T1297" s="104"/>
      <c r="U1297" s="104"/>
      <c r="V1297" s="104"/>
      <c r="W1297" s="104"/>
      <c r="X1297" s="104"/>
      <c r="Y1297" s="104"/>
      <c r="Z1297" s="104"/>
      <c r="AA1297" s="104"/>
      <c r="AB1297" s="104"/>
      <c r="AC1297" s="104"/>
      <c r="AD1297" s="104"/>
    </row>
    <row r="1298" spans="1:30" ht="12.75">
      <c r="A1298" s="104"/>
      <c r="B1298" s="104"/>
      <c r="C1298" s="104"/>
      <c r="D1298" s="104"/>
      <c r="E1298" s="104"/>
      <c r="F1298" s="193"/>
      <c r="G1298" s="104"/>
      <c r="H1298" s="104"/>
      <c r="I1298" s="104"/>
      <c r="J1298" s="104"/>
      <c r="K1298" s="104"/>
      <c r="L1298" s="104"/>
      <c r="M1298" s="104"/>
      <c r="N1298" s="104"/>
      <c r="O1298" s="104"/>
      <c r="P1298" s="104"/>
      <c r="Q1298" s="104"/>
      <c r="R1298" s="104"/>
      <c r="S1298" s="104"/>
      <c r="T1298" s="104"/>
      <c r="U1298" s="104"/>
      <c r="V1298" s="104"/>
      <c r="W1298" s="104"/>
      <c r="X1298" s="104"/>
      <c r="Y1298" s="104"/>
      <c r="Z1298" s="104"/>
      <c r="AA1298" s="104"/>
      <c r="AB1298" s="104"/>
      <c r="AC1298" s="104"/>
      <c r="AD1298" s="104"/>
    </row>
    <row r="1299" spans="1:30" ht="12.75">
      <c r="A1299" s="104"/>
      <c r="B1299" s="104"/>
      <c r="C1299" s="104"/>
      <c r="D1299" s="104"/>
      <c r="E1299" s="104"/>
      <c r="F1299" s="193"/>
      <c r="G1299" s="104"/>
      <c r="H1299" s="104"/>
      <c r="I1299" s="104"/>
      <c r="J1299" s="104"/>
      <c r="K1299" s="104"/>
      <c r="L1299" s="104"/>
      <c r="M1299" s="104"/>
      <c r="N1299" s="104"/>
      <c r="O1299" s="104"/>
      <c r="P1299" s="104"/>
      <c r="Q1299" s="104"/>
      <c r="R1299" s="104"/>
      <c r="S1299" s="104"/>
      <c r="T1299" s="104"/>
      <c r="U1299" s="104"/>
      <c r="V1299" s="104"/>
      <c r="W1299" s="104"/>
      <c r="X1299" s="104"/>
      <c r="Y1299" s="104"/>
      <c r="Z1299" s="104"/>
      <c r="AA1299" s="104"/>
      <c r="AB1299" s="104"/>
      <c r="AC1299" s="104"/>
      <c r="AD1299" s="104"/>
    </row>
    <row r="1300" spans="1:30" ht="12.75">
      <c r="A1300" s="104"/>
      <c r="B1300" s="104"/>
      <c r="C1300" s="104"/>
      <c r="D1300" s="104"/>
      <c r="E1300" s="104"/>
      <c r="F1300" s="193"/>
      <c r="G1300" s="104"/>
      <c r="H1300" s="104"/>
      <c r="I1300" s="104"/>
      <c r="J1300" s="104"/>
      <c r="K1300" s="104"/>
      <c r="L1300" s="104"/>
      <c r="M1300" s="104"/>
      <c r="N1300" s="104"/>
      <c r="O1300" s="104"/>
      <c r="P1300" s="104"/>
      <c r="Q1300" s="104"/>
      <c r="R1300" s="104"/>
      <c r="S1300" s="104"/>
      <c r="T1300" s="104"/>
      <c r="U1300" s="104"/>
      <c r="V1300" s="104"/>
      <c r="W1300" s="104"/>
      <c r="X1300" s="104"/>
      <c r="Y1300" s="104"/>
      <c r="Z1300" s="104"/>
      <c r="AA1300" s="104"/>
      <c r="AB1300" s="104"/>
      <c r="AC1300" s="104"/>
      <c r="AD1300" s="104"/>
    </row>
    <row r="1301" spans="1:30" ht="12.75">
      <c r="A1301" s="104"/>
      <c r="B1301" s="104"/>
      <c r="C1301" s="104"/>
      <c r="D1301" s="104"/>
      <c r="E1301" s="104"/>
      <c r="F1301" s="193"/>
      <c r="G1301" s="104"/>
      <c r="H1301" s="104"/>
      <c r="I1301" s="104"/>
      <c r="J1301" s="104"/>
      <c r="K1301" s="104"/>
      <c r="L1301" s="104"/>
      <c r="M1301" s="104"/>
      <c r="N1301" s="104"/>
      <c r="O1301" s="104"/>
      <c r="P1301" s="104"/>
      <c r="Q1301" s="104"/>
      <c r="R1301" s="104"/>
      <c r="S1301" s="104"/>
      <c r="T1301" s="104"/>
      <c r="U1301" s="104"/>
      <c r="V1301" s="104"/>
      <c r="W1301" s="104"/>
      <c r="X1301" s="104"/>
      <c r="Y1301" s="104"/>
      <c r="Z1301" s="104"/>
      <c r="AA1301" s="104"/>
      <c r="AB1301" s="104"/>
      <c r="AC1301" s="104"/>
      <c r="AD1301" s="104"/>
    </row>
    <row r="1302" spans="1:30" ht="12.75">
      <c r="A1302" s="104"/>
      <c r="B1302" s="104"/>
      <c r="C1302" s="104"/>
      <c r="D1302" s="104"/>
      <c r="E1302" s="104"/>
      <c r="F1302" s="193"/>
      <c r="G1302" s="104"/>
      <c r="H1302" s="104"/>
      <c r="I1302" s="104"/>
      <c r="J1302" s="104"/>
      <c r="K1302" s="104"/>
      <c r="L1302" s="104"/>
      <c r="M1302" s="104"/>
      <c r="N1302" s="104"/>
      <c r="O1302" s="104"/>
      <c r="P1302" s="104"/>
      <c r="Q1302" s="104"/>
      <c r="R1302" s="104"/>
      <c r="S1302" s="104"/>
      <c r="T1302" s="104"/>
      <c r="U1302" s="104"/>
      <c r="V1302" s="104"/>
      <c r="W1302" s="104"/>
      <c r="X1302" s="104"/>
      <c r="Y1302" s="104"/>
      <c r="Z1302" s="104"/>
      <c r="AA1302" s="104"/>
      <c r="AB1302" s="104"/>
      <c r="AC1302" s="104"/>
      <c r="AD1302" s="104"/>
    </row>
    <row r="1303" spans="1:30" ht="12.75">
      <c r="A1303" s="104"/>
      <c r="B1303" s="104"/>
      <c r="C1303" s="104"/>
      <c r="D1303" s="104"/>
      <c r="E1303" s="104"/>
      <c r="F1303" s="193"/>
      <c r="G1303" s="104"/>
      <c r="H1303" s="104"/>
      <c r="I1303" s="104"/>
      <c r="J1303" s="104"/>
      <c r="K1303" s="104"/>
      <c r="L1303" s="104"/>
      <c r="M1303" s="104"/>
      <c r="N1303" s="104"/>
      <c r="O1303" s="104"/>
      <c r="P1303" s="104"/>
      <c r="Q1303" s="104"/>
      <c r="R1303" s="104"/>
      <c r="S1303" s="104"/>
      <c r="T1303" s="104"/>
      <c r="U1303" s="104"/>
      <c r="V1303" s="104"/>
      <c r="W1303" s="104"/>
      <c r="X1303" s="104"/>
      <c r="Y1303" s="104"/>
      <c r="Z1303" s="104"/>
      <c r="AA1303" s="104"/>
      <c r="AB1303" s="104"/>
      <c r="AC1303" s="104"/>
      <c r="AD1303" s="104"/>
    </row>
    <row r="1304" spans="1:30" ht="12.75">
      <c r="A1304" s="104"/>
      <c r="B1304" s="104"/>
      <c r="C1304" s="104"/>
      <c r="D1304" s="104"/>
      <c r="E1304" s="104"/>
      <c r="F1304" s="193"/>
      <c r="G1304" s="104"/>
      <c r="H1304" s="104"/>
      <c r="I1304" s="104"/>
      <c r="J1304" s="104"/>
      <c r="K1304" s="104"/>
      <c r="L1304" s="104"/>
      <c r="M1304" s="104"/>
      <c r="N1304" s="104"/>
      <c r="O1304" s="104"/>
      <c r="P1304" s="104"/>
      <c r="Q1304" s="104"/>
      <c r="R1304" s="104"/>
      <c r="S1304" s="104"/>
      <c r="T1304" s="104"/>
      <c r="U1304" s="104"/>
      <c r="V1304" s="104"/>
      <c r="W1304" s="104"/>
      <c r="X1304" s="104"/>
      <c r="Y1304" s="104"/>
      <c r="Z1304" s="104"/>
      <c r="AA1304" s="104"/>
      <c r="AB1304" s="104"/>
      <c r="AC1304" s="104"/>
      <c r="AD1304" s="104"/>
    </row>
    <row r="1305" spans="1:30" ht="12.75">
      <c r="A1305" s="104"/>
      <c r="B1305" s="104"/>
      <c r="C1305" s="104"/>
      <c r="D1305" s="104"/>
      <c r="E1305" s="104"/>
      <c r="F1305" s="193"/>
      <c r="G1305" s="104"/>
      <c r="H1305" s="104"/>
      <c r="I1305" s="104"/>
      <c r="J1305" s="104"/>
      <c r="K1305" s="104"/>
      <c r="L1305" s="104"/>
      <c r="M1305" s="104"/>
      <c r="N1305" s="104"/>
      <c r="O1305" s="104"/>
      <c r="P1305" s="104"/>
      <c r="Q1305" s="104"/>
      <c r="R1305" s="104"/>
      <c r="S1305" s="104"/>
      <c r="T1305" s="104"/>
      <c r="U1305" s="104"/>
      <c r="V1305" s="104"/>
      <c r="W1305" s="104"/>
      <c r="X1305" s="104"/>
      <c r="Y1305" s="104"/>
      <c r="Z1305" s="104"/>
      <c r="AA1305" s="104"/>
      <c r="AB1305" s="104"/>
      <c r="AC1305" s="104"/>
      <c r="AD1305" s="104"/>
    </row>
    <row r="1306" spans="1:30" ht="12.75">
      <c r="A1306" s="104"/>
      <c r="B1306" s="104"/>
      <c r="C1306" s="104"/>
      <c r="D1306" s="104"/>
      <c r="E1306" s="104"/>
      <c r="F1306" s="193"/>
      <c r="G1306" s="104"/>
      <c r="H1306" s="104"/>
      <c r="I1306" s="104"/>
      <c r="J1306" s="104"/>
      <c r="K1306" s="104"/>
      <c r="L1306" s="104"/>
      <c r="M1306" s="104"/>
      <c r="N1306" s="104"/>
      <c r="O1306" s="104"/>
      <c r="P1306" s="104"/>
      <c r="Q1306" s="104"/>
      <c r="R1306" s="104"/>
      <c r="S1306" s="104"/>
      <c r="T1306" s="104"/>
      <c r="U1306" s="104"/>
      <c r="V1306" s="104"/>
      <c r="W1306" s="104"/>
      <c r="X1306" s="104"/>
      <c r="Y1306" s="104"/>
      <c r="Z1306" s="104"/>
      <c r="AA1306" s="104"/>
      <c r="AB1306" s="104"/>
      <c r="AC1306" s="104"/>
      <c r="AD1306" s="104"/>
    </row>
    <row r="1307" spans="1:30" ht="12.75">
      <c r="A1307" s="104"/>
      <c r="B1307" s="104"/>
      <c r="C1307" s="104"/>
      <c r="D1307" s="104"/>
      <c r="E1307" s="104"/>
      <c r="F1307" s="193"/>
      <c r="G1307" s="104"/>
      <c r="H1307" s="104"/>
      <c r="I1307" s="104"/>
      <c r="J1307" s="104"/>
      <c r="K1307" s="104"/>
      <c r="L1307" s="104"/>
      <c r="M1307" s="104"/>
      <c r="N1307" s="104"/>
      <c r="O1307" s="104"/>
      <c r="P1307" s="104"/>
      <c r="Q1307" s="104"/>
      <c r="R1307" s="104"/>
      <c r="S1307" s="104"/>
      <c r="T1307" s="104"/>
      <c r="U1307" s="104"/>
      <c r="V1307" s="104"/>
      <c r="W1307" s="104"/>
      <c r="X1307" s="104"/>
      <c r="Y1307" s="104"/>
      <c r="Z1307" s="104"/>
      <c r="AA1307" s="104"/>
      <c r="AB1307" s="104"/>
      <c r="AC1307" s="104"/>
      <c r="AD1307" s="104"/>
    </row>
    <row r="1308" spans="1:30" ht="12.75">
      <c r="A1308" s="104"/>
      <c r="B1308" s="104"/>
      <c r="C1308" s="104"/>
      <c r="D1308" s="104"/>
      <c r="E1308" s="104"/>
      <c r="F1308" s="193"/>
      <c r="G1308" s="104"/>
      <c r="H1308" s="104"/>
      <c r="I1308" s="104"/>
      <c r="J1308" s="104"/>
      <c r="K1308" s="104"/>
      <c r="L1308" s="104"/>
      <c r="M1308" s="104"/>
      <c r="N1308" s="104"/>
      <c r="O1308" s="104"/>
      <c r="P1308" s="104"/>
      <c r="Q1308" s="104"/>
      <c r="R1308" s="104"/>
      <c r="S1308" s="104"/>
      <c r="T1308" s="104"/>
      <c r="U1308" s="104"/>
      <c r="V1308" s="104"/>
      <c r="W1308" s="104"/>
      <c r="X1308" s="104"/>
      <c r="Y1308" s="104"/>
      <c r="Z1308" s="104"/>
      <c r="AA1308" s="104"/>
      <c r="AB1308" s="104"/>
      <c r="AC1308" s="104"/>
      <c r="AD1308" s="104"/>
    </row>
    <row r="1309" spans="1:30" ht="12.75">
      <c r="A1309" s="104"/>
      <c r="B1309" s="104"/>
      <c r="C1309" s="104"/>
      <c r="D1309" s="104"/>
      <c r="E1309" s="104"/>
      <c r="F1309" s="193"/>
      <c r="G1309" s="104"/>
      <c r="H1309" s="104"/>
      <c r="I1309" s="104"/>
      <c r="J1309" s="104"/>
      <c r="K1309" s="104"/>
      <c r="L1309" s="104"/>
      <c r="M1309" s="104"/>
      <c r="N1309" s="104"/>
      <c r="O1309" s="104"/>
      <c r="P1309" s="104"/>
      <c r="Q1309" s="104"/>
      <c r="R1309" s="104"/>
      <c r="S1309" s="104"/>
      <c r="T1309" s="104"/>
      <c r="U1309" s="104"/>
      <c r="V1309" s="104"/>
      <c r="W1309" s="104"/>
      <c r="X1309" s="104"/>
      <c r="Y1309" s="104"/>
      <c r="Z1309" s="104"/>
      <c r="AA1309" s="104"/>
      <c r="AB1309" s="104"/>
      <c r="AC1309" s="104"/>
      <c r="AD1309" s="104"/>
    </row>
    <row r="1310" spans="1:30" ht="12.75">
      <c r="A1310" s="104"/>
      <c r="B1310" s="104"/>
      <c r="C1310" s="104"/>
      <c r="D1310" s="104"/>
      <c r="E1310" s="104"/>
      <c r="F1310" s="193"/>
      <c r="G1310" s="104"/>
      <c r="H1310" s="104"/>
      <c r="I1310" s="104"/>
      <c r="J1310" s="104"/>
      <c r="K1310" s="104"/>
      <c r="L1310" s="104"/>
      <c r="M1310" s="104"/>
      <c r="N1310" s="104"/>
      <c r="O1310" s="104"/>
      <c r="P1310" s="104"/>
      <c r="Q1310" s="104"/>
      <c r="R1310" s="104"/>
      <c r="S1310" s="104"/>
      <c r="T1310" s="104"/>
      <c r="U1310" s="104"/>
      <c r="V1310" s="104"/>
      <c r="W1310" s="104"/>
      <c r="X1310" s="104"/>
      <c r="Y1310" s="104"/>
      <c r="Z1310" s="104"/>
      <c r="AA1310" s="104"/>
      <c r="AB1310" s="104"/>
      <c r="AC1310" s="104"/>
      <c r="AD1310" s="104"/>
    </row>
    <row r="1311" spans="1:30" ht="12.75">
      <c r="A1311" s="104"/>
      <c r="B1311" s="104"/>
      <c r="C1311" s="104"/>
      <c r="D1311" s="104"/>
      <c r="E1311" s="104"/>
      <c r="F1311" s="193"/>
      <c r="G1311" s="104"/>
      <c r="H1311" s="104"/>
      <c r="I1311" s="104"/>
      <c r="J1311" s="104"/>
      <c r="K1311" s="104"/>
      <c r="L1311" s="104"/>
      <c r="M1311" s="104"/>
      <c r="N1311" s="104"/>
      <c r="O1311" s="104"/>
      <c r="P1311" s="104"/>
      <c r="Q1311" s="104"/>
      <c r="R1311" s="104"/>
      <c r="S1311" s="104"/>
      <c r="T1311" s="104"/>
      <c r="U1311" s="104"/>
      <c r="V1311" s="104"/>
      <c r="W1311" s="104"/>
      <c r="X1311" s="104"/>
      <c r="Y1311" s="104"/>
      <c r="Z1311" s="104"/>
      <c r="AA1311" s="104"/>
      <c r="AB1311" s="104"/>
      <c r="AC1311" s="104"/>
      <c r="AD1311" s="104"/>
    </row>
    <row r="1312" spans="1:30" ht="12.75">
      <c r="A1312" s="104"/>
      <c r="B1312" s="104"/>
      <c r="C1312" s="104"/>
      <c r="D1312" s="104"/>
      <c r="E1312" s="104"/>
      <c r="F1312" s="193"/>
      <c r="G1312" s="104"/>
      <c r="H1312" s="104"/>
      <c r="I1312" s="104"/>
      <c r="J1312" s="104"/>
      <c r="K1312" s="104"/>
      <c r="L1312" s="104"/>
      <c r="M1312" s="104"/>
      <c r="N1312" s="104"/>
      <c r="O1312" s="104"/>
      <c r="P1312" s="104"/>
      <c r="Q1312" s="104"/>
      <c r="R1312" s="104"/>
      <c r="S1312" s="104"/>
      <c r="T1312" s="104"/>
      <c r="U1312" s="104"/>
      <c r="V1312" s="104"/>
      <c r="W1312" s="104"/>
      <c r="X1312" s="104"/>
      <c r="Y1312" s="104"/>
      <c r="Z1312" s="104"/>
      <c r="AA1312" s="104"/>
      <c r="AB1312" s="104"/>
      <c r="AC1312" s="104"/>
      <c r="AD1312" s="104"/>
    </row>
    <row r="1313" spans="1:30" ht="12.75">
      <c r="A1313" s="104"/>
      <c r="B1313" s="104"/>
      <c r="C1313" s="104"/>
      <c r="D1313" s="104"/>
      <c r="E1313" s="104"/>
      <c r="F1313" s="193"/>
      <c r="G1313" s="104"/>
      <c r="H1313" s="104"/>
      <c r="I1313" s="104"/>
      <c r="J1313" s="104"/>
      <c r="K1313" s="104"/>
      <c r="L1313" s="104"/>
      <c r="M1313" s="104"/>
      <c r="N1313" s="104"/>
      <c r="O1313" s="104"/>
      <c r="P1313" s="104"/>
      <c r="Q1313" s="104"/>
      <c r="R1313" s="104"/>
      <c r="S1313" s="104"/>
      <c r="T1313" s="104"/>
      <c r="U1313" s="104"/>
      <c r="V1313" s="104"/>
      <c r="W1313" s="104"/>
      <c r="X1313" s="104"/>
      <c r="Y1313" s="104"/>
      <c r="Z1313" s="104"/>
      <c r="AA1313" s="104"/>
      <c r="AB1313" s="104"/>
      <c r="AC1313" s="104"/>
      <c r="AD1313" s="104"/>
    </row>
    <row r="1314" spans="1:30" ht="12.75">
      <c r="A1314" s="104"/>
      <c r="B1314" s="104"/>
      <c r="C1314" s="104"/>
      <c r="D1314" s="104"/>
      <c r="E1314" s="104"/>
      <c r="F1314" s="193"/>
      <c r="G1314" s="104"/>
      <c r="H1314" s="104"/>
      <c r="I1314" s="104"/>
      <c r="J1314" s="104"/>
      <c r="K1314" s="104"/>
      <c r="L1314" s="104"/>
      <c r="M1314" s="104"/>
      <c r="N1314" s="104"/>
      <c r="O1314" s="104"/>
      <c r="P1314" s="104"/>
      <c r="Q1314" s="104"/>
      <c r="R1314" s="104"/>
      <c r="S1314" s="104"/>
      <c r="T1314" s="104"/>
      <c r="U1314" s="104"/>
      <c r="V1314" s="104"/>
      <c r="W1314" s="104"/>
      <c r="X1314" s="104"/>
      <c r="Y1314" s="104"/>
      <c r="Z1314" s="104"/>
      <c r="AA1314" s="104"/>
      <c r="AB1314" s="104"/>
      <c r="AC1314" s="104"/>
      <c r="AD1314" s="104"/>
    </row>
    <row r="1315" spans="1:30" ht="12.75">
      <c r="A1315" s="104"/>
      <c r="B1315" s="104"/>
      <c r="C1315" s="104"/>
      <c r="D1315" s="104"/>
      <c r="E1315" s="104"/>
      <c r="F1315" s="193"/>
      <c r="G1315" s="104"/>
      <c r="H1315" s="104"/>
      <c r="I1315" s="104"/>
      <c r="J1315" s="104"/>
      <c r="K1315" s="104"/>
      <c r="L1315" s="104"/>
      <c r="M1315" s="104"/>
      <c r="N1315" s="104"/>
      <c r="O1315" s="104"/>
      <c r="P1315" s="104"/>
      <c r="Q1315" s="104"/>
      <c r="R1315" s="104"/>
      <c r="S1315" s="104"/>
      <c r="T1315" s="104"/>
      <c r="U1315" s="104"/>
      <c r="V1315" s="104"/>
      <c r="W1315" s="104"/>
      <c r="X1315" s="104"/>
      <c r="Y1315" s="104"/>
      <c r="Z1315" s="104"/>
      <c r="AA1315" s="104"/>
      <c r="AB1315" s="104"/>
      <c r="AC1315" s="104"/>
      <c r="AD1315" s="104"/>
    </row>
    <row r="1316" spans="1:30" ht="12.75">
      <c r="A1316" s="104"/>
      <c r="B1316" s="104"/>
      <c r="C1316" s="104"/>
      <c r="D1316" s="104"/>
      <c r="E1316" s="104"/>
      <c r="F1316" s="193"/>
      <c r="G1316" s="104"/>
      <c r="H1316" s="104"/>
      <c r="I1316" s="104"/>
      <c r="J1316" s="104"/>
      <c r="K1316" s="104"/>
      <c r="L1316" s="104"/>
      <c r="M1316" s="104"/>
      <c r="N1316" s="104"/>
      <c r="O1316" s="104"/>
      <c r="P1316" s="104"/>
      <c r="Q1316" s="104"/>
      <c r="R1316" s="104"/>
      <c r="S1316" s="104"/>
      <c r="T1316" s="104"/>
      <c r="U1316" s="104"/>
      <c r="V1316" s="104"/>
      <c r="W1316" s="104"/>
      <c r="X1316" s="104"/>
      <c r="Y1316" s="104"/>
      <c r="Z1316" s="104"/>
      <c r="AA1316" s="104"/>
      <c r="AB1316" s="104"/>
      <c r="AC1316" s="104"/>
      <c r="AD1316" s="104"/>
    </row>
    <row r="1317" spans="1:30" ht="12.75">
      <c r="A1317" s="104"/>
      <c r="B1317" s="104"/>
      <c r="C1317" s="104"/>
      <c r="D1317" s="104"/>
      <c r="E1317" s="104"/>
      <c r="F1317" s="193"/>
      <c r="G1317" s="104"/>
      <c r="H1317" s="104"/>
      <c r="I1317" s="104"/>
      <c r="J1317" s="104"/>
      <c r="K1317" s="104"/>
      <c r="L1317" s="104"/>
      <c r="M1317" s="104"/>
      <c r="N1317" s="104"/>
      <c r="O1317" s="104"/>
      <c r="P1317" s="104"/>
      <c r="Q1317" s="104"/>
      <c r="R1317" s="104"/>
      <c r="S1317" s="104"/>
      <c r="T1317" s="104"/>
      <c r="U1317" s="104"/>
      <c r="V1317" s="104"/>
      <c r="W1317" s="104"/>
      <c r="X1317" s="104"/>
      <c r="Y1317" s="104"/>
      <c r="Z1317" s="104"/>
      <c r="AA1317" s="104"/>
      <c r="AB1317" s="104"/>
      <c r="AC1317" s="104"/>
      <c r="AD1317" s="104"/>
    </row>
    <row r="1318" spans="1:30" ht="12.75">
      <c r="A1318" s="104"/>
      <c r="B1318" s="104"/>
      <c r="C1318" s="104"/>
      <c r="D1318" s="104"/>
      <c r="E1318" s="104"/>
      <c r="F1318" s="193"/>
      <c r="G1318" s="104"/>
      <c r="H1318" s="104"/>
      <c r="I1318" s="104"/>
      <c r="J1318" s="104"/>
      <c r="K1318" s="104"/>
      <c r="L1318" s="104"/>
      <c r="M1318" s="104"/>
      <c r="N1318" s="104"/>
      <c r="O1318" s="104"/>
      <c r="P1318" s="104"/>
      <c r="Q1318" s="104"/>
      <c r="R1318" s="104"/>
      <c r="S1318" s="104"/>
      <c r="T1318" s="104"/>
      <c r="U1318" s="104"/>
      <c r="V1318" s="104"/>
      <c r="W1318" s="104"/>
      <c r="X1318" s="104"/>
      <c r="Y1318" s="104"/>
      <c r="Z1318" s="104"/>
      <c r="AA1318" s="104"/>
      <c r="AB1318" s="104"/>
      <c r="AC1318" s="104"/>
      <c r="AD1318" s="104"/>
    </row>
    <row r="1319" spans="1:30" ht="12.75">
      <c r="A1319" s="104"/>
      <c r="B1319" s="104"/>
      <c r="C1319" s="104"/>
      <c r="D1319" s="104"/>
      <c r="E1319" s="104"/>
      <c r="F1319" s="193"/>
      <c r="G1319" s="104"/>
      <c r="H1319" s="104"/>
      <c r="I1319" s="104"/>
      <c r="J1319" s="104"/>
      <c r="K1319" s="104"/>
      <c r="L1319" s="104"/>
      <c r="M1319" s="104"/>
      <c r="N1319" s="104"/>
      <c r="O1319" s="104"/>
      <c r="P1319" s="104"/>
      <c r="Q1319" s="104"/>
      <c r="R1319" s="104"/>
      <c r="S1319" s="104"/>
      <c r="T1319" s="104"/>
      <c r="U1319" s="104"/>
      <c r="V1319" s="104"/>
      <c r="W1319" s="104"/>
      <c r="X1319" s="104"/>
      <c r="Y1319" s="104"/>
      <c r="Z1319" s="104"/>
      <c r="AA1319" s="104"/>
      <c r="AB1319" s="104"/>
      <c r="AC1319" s="104"/>
      <c r="AD1319" s="104"/>
    </row>
    <row r="1320" spans="1:30" ht="12.75">
      <c r="A1320" s="104"/>
      <c r="B1320" s="104"/>
      <c r="C1320" s="104"/>
      <c r="D1320" s="104"/>
      <c r="E1320" s="104"/>
      <c r="F1320" s="193"/>
      <c r="G1320" s="104"/>
      <c r="H1320" s="104"/>
      <c r="I1320" s="104"/>
      <c r="J1320" s="104"/>
      <c r="K1320" s="104"/>
      <c r="L1320" s="104"/>
      <c r="M1320" s="104"/>
      <c r="N1320" s="104"/>
      <c r="O1320" s="104"/>
      <c r="P1320" s="104"/>
      <c r="Q1320" s="104"/>
      <c r="R1320" s="104"/>
      <c r="S1320" s="104"/>
      <c r="T1320" s="104"/>
      <c r="U1320" s="104"/>
      <c r="V1320" s="104"/>
      <c r="W1320" s="104"/>
      <c r="X1320" s="104"/>
      <c r="Y1320" s="104"/>
      <c r="Z1320" s="104"/>
      <c r="AA1320" s="104"/>
      <c r="AB1320" s="104"/>
      <c r="AC1320" s="104"/>
      <c r="AD1320" s="104"/>
    </row>
    <row r="1321" spans="1:30" ht="12.75">
      <c r="A1321" s="104"/>
      <c r="B1321" s="104"/>
      <c r="C1321" s="104"/>
      <c r="D1321" s="104"/>
      <c r="E1321" s="104"/>
      <c r="F1321" s="193"/>
      <c r="G1321" s="104"/>
      <c r="H1321" s="104"/>
      <c r="I1321" s="104"/>
      <c r="J1321" s="104"/>
      <c r="K1321" s="104"/>
      <c r="L1321" s="104"/>
      <c r="M1321" s="104"/>
      <c r="N1321" s="104"/>
      <c r="O1321" s="104"/>
      <c r="P1321" s="104"/>
      <c r="Q1321" s="104"/>
      <c r="R1321" s="104"/>
      <c r="S1321" s="104"/>
      <c r="T1321" s="104"/>
      <c r="U1321" s="104"/>
      <c r="V1321" s="104"/>
      <c r="W1321" s="104"/>
      <c r="X1321" s="104"/>
      <c r="Y1321" s="104"/>
      <c r="Z1321" s="104"/>
      <c r="AA1321" s="104"/>
      <c r="AB1321" s="104"/>
      <c r="AC1321" s="104"/>
      <c r="AD1321" s="104"/>
    </row>
    <row r="1322" spans="1:30" ht="12.75">
      <c r="A1322" s="104"/>
      <c r="B1322" s="104"/>
      <c r="C1322" s="104"/>
      <c r="D1322" s="104"/>
      <c r="E1322" s="104"/>
      <c r="F1322" s="193"/>
      <c r="G1322" s="104"/>
      <c r="H1322" s="104"/>
      <c r="I1322" s="104"/>
      <c r="J1322" s="104"/>
      <c r="K1322" s="104"/>
      <c r="L1322" s="104"/>
      <c r="M1322" s="104"/>
      <c r="N1322" s="104"/>
      <c r="O1322" s="104"/>
      <c r="P1322" s="104"/>
      <c r="Q1322" s="104"/>
      <c r="R1322" s="104"/>
      <c r="S1322" s="104"/>
      <c r="T1322" s="104"/>
      <c r="U1322" s="104"/>
      <c r="V1322" s="104"/>
      <c r="W1322" s="104"/>
      <c r="X1322" s="104"/>
      <c r="Y1322" s="104"/>
      <c r="Z1322" s="104"/>
      <c r="AA1322" s="104"/>
      <c r="AB1322" s="104"/>
      <c r="AC1322" s="104"/>
      <c r="AD1322" s="104"/>
    </row>
    <row r="1323" spans="1:30" ht="12.75">
      <c r="A1323" s="104"/>
      <c r="B1323" s="104"/>
      <c r="C1323" s="104"/>
      <c r="D1323" s="104"/>
      <c r="E1323" s="104"/>
      <c r="F1323" s="193"/>
      <c r="G1323" s="104"/>
      <c r="H1323" s="104"/>
      <c r="I1323" s="104"/>
      <c r="J1323" s="104"/>
      <c r="K1323" s="104"/>
      <c r="L1323" s="104"/>
      <c r="M1323" s="104"/>
      <c r="N1323" s="104"/>
      <c r="O1323" s="104"/>
      <c r="P1323" s="104"/>
      <c r="Q1323" s="104"/>
      <c r="R1323" s="104"/>
      <c r="S1323" s="104"/>
      <c r="T1323" s="104"/>
      <c r="U1323" s="104"/>
      <c r="V1323" s="104"/>
      <c r="W1323" s="104"/>
      <c r="X1323" s="104"/>
      <c r="Y1323" s="104"/>
      <c r="Z1323" s="104"/>
      <c r="AA1323" s="104"/>
      <c r="AB1323" s="104"/>
      <c r="AC1323" s="104"/>
      <c r="AD1323" s="104"/>
    </row>
    <row r="1324" spans="1:30" ht="12.75">
      <c r="A1324" s="104"/>
      <c r="B1324" s="104"/>
      <c r="C1324" s="104"/>
      <c r="D1324" s="104"/>
      <c r="E1324" s="104"/>
      <c r="F1324" s="193"/>
      <c r="G1324" s="104"/>
      <c r="H1324" s="104"/>
      <c r="I1324" s="104"/>
      <c r="J1324" s="104"/>
      <c r="K1324" s="104"/>
      <c r="L1324" s="104"/>
      <c r="M1324" s="104"/>
      <c r="N1324" s="104"/>
      <c r="O1324" s="104"/>
      <c r="P1324" s="104"/>
      <c r="Q1324" s="104"/>
      <c r="R1324" s="104"/>
      <c r="S1324" s="104"/>
      <c r="T1324" s="104"/>
      <c r="U1324" s="104"/>
      <c r="V1324" s="104"/>
      <c r="W1324" s="104"/>
      <c r="X1324" s="104"/>
      <c r="Y1324" s="104"/>
      <c r="Z1324" s="104"/>
      <c r="AA1324" s="104"/>
      <c r="AB1324" s="104"/>
      <c r="AC1324" s="104"/>
      <c r="AD1324" s="104"/>
    </row>
    <row r="1325" spans="1:30" ht="12.75">
      <c r="A1325" s="104"/>
      <c r="B1325" s="104"/>
      <c r="C1325" s="104"/>
      <c r="D1325" s="104"/>
      <c r="E1325" s="104"/>
      <c r="F1325" s="193"/>
      <c r="G1325" s="104"/>
      <c r="H1325" s="104"/>
      <c r="I1325" s="104"/>
      <c r="J1325" s="104"/>
      <c r="K1325" s="104"/>
      <c r="L1325" s="104"/>
      <c r="M1325" s="104"/>
      <c r="N1325" s="104"/>
      <c r="O1325" s="104"/>
      <c r="P1325" s="104"/>
      <c r="Q1325" s="104"/>
      <c r="R1325" s="104"/>
      <c r="S1325" s="104"/>
      <c r="T1325" s="104"/>
      <c r="U1325" s="104"/>
      <c r="V1325" s="104"/>
      <c r="W1325" s="104"/>
      <c r="X1325" s="104"/>
      <c r="Y1325" s="104"/>
      <c r="Z1325" s="104"/>
      <c r="AA1325" s="104"/>
      <c r="AB1325" s="104"/>
      <c r="AC1325" s="104"/>
      <c r="AD1325" s="104"/>
    </row>
    <row r="1326" spans="1:30" ht="12.75">
      <c r="A1326" s="104"/>
      <c r="B1326" s="104"/>
      <c r="C1326" s="104"/>
      <c r="D1326" s="104"/>
      <c r="E1326" s="104"/>
      <c r="F1326" s="193"/>
      <c r="G1326" s="104"/>
      <c r="H1326" s="104"/>
      <c r="I1326" s="104"/>
      <c r="J1326" s="104"/>
      <c r="K1326" s="104"/>
      <c r="L1326" s="104"/>
      <c r="M1326" s="104"/>
      <c r="N1326" s="104"/>
      <c r="O1326" s="104"/>
      <c r="P1326" s="104"/>
      <c r="Q1326" s="104"/>
      <c r="R1326" s="104"/>
      <c r="S1326" s="104"/>
      <c r="T1326" s="104"/>
      <c r="U1326" s="104"/>
      <c r="V1326" s="104"/>
      <c r="W1326" s="104"/>
      <c r="X1326" s="104"/>
      <c r="Y1326" s="104"/>
      <c r="Z1326" s="104"/>
      <c r="AA1326" s="104"/>
      <c r="AB1326" s="104"/>
      <c r="AC1326" s="104"/>
      <c r="AD1326" s="104"/>
    </row>
    <row r="1327" spans="1:30" ht="12.75">
      <c r="A1327" s="104"/>
      <c r="B1327" s="104"/>
      <c r="C1327" s="104"/>
      <c r="D1327" s="104"/>
      <c r="E1327" s="104"/>
      <c r="F1327" s="193"/>
      <c r="G1327" s="104"/>
      <c r="H1327" s="104"/>
      <c r="I1327" s="104"/>
      <c r="J1327" s="104"/>
      <c r="K1327" s="104"/>
      <c r="L1327" s="104"/>
      <c r="M1327" s="104"/>
      <c r="N1327" s="104"/>
      <c r="O1327" s="104"/>
      <c r="P1327" s="104"/>
      <c r="Q1327" s="104"/>
      <c r="R1327" s="104"/>
      <c r="S1327" s="104"/>
      <c r="T1327" s="104"/>
      <c r="U1327" s="104"/>
      <c r="V1327" s="104"/>
      <c r="W1327" s="104"/>
      <c r="X1327" s="104"/>
      <c r="Y1327" s="104"/>
      <c r="Z1327" s="104"/>
      <c r="AA1327" s="104"/>
      <c r="AB1327" s="104"/>
      <c r="AC1327" s="104"/>
      <c r="AD1327" s="104"/>
    </row>
    <row r="1328" spans="1:30" ht="12.75">
      <c r="A1328" s="104"/>
      <c r="B1328" s="104"/>
      <c r="C1328" s="104"/>
      <c r="D1328" s="104"/>
      <c r="E1328" s="104"/>
      <c r="F1328" s="193"/>
      <c r="G1328" s="104"/>
      <c r="H1328" s="104"/>
      <c r="I1328" s="104"/>
      <c r="J1328" s="104"/>
      <c r="K1328" s="104"/>
      <c r="L1328" s="104"/>
      <c r="M1328" s="104"/>
      <c r="N1328" s="104"/>
      <c r="O1328" s="104"/>
      <c r="P1328" s="104"/>
      <c r="Q1328" s="104"/>
      <c r="R1328" s="104"/>
      <c r="S1328" s="104"/>
      <c r="T1328" s="104"/>
      <c r="U1328" s="104"/>
      <c r="V1328" s="104"/>
      <c r="W1328" s="104"/>
      <c r="X1328" s="104"/>
      <c r="Y1328" s="104"/>
      <c r="Z1328" s="104"/>
      <c r="AA1328" s="104"/>
      <c r="AB1328" s="104"/>
      <c r="AC1328" s="104"/>
      <c r="AD1328" s="104"/>
    </row>
    <row r="1329" spans="1:30" ht="12.75">
      <c r="A1329" s="104"/>
      <c r="B1329" s="104"/>
      <c r="C1329" s="104"/>
      <c r="D1329" s="104"/>
      <c r="E1329" s="104"/>
      <c r="F1329" s="193"/>
      <c r="G1329" s="104"/>
      <c r="H1329" s="104"/>
      <c r="I1329" s="104"/>
      <c r="J1329" s="104"/>
      <c r="K1329" s="104"/>
      <c r="L1329" s="104"/>
      <c r="M1329" s="104"/>
      <c r="N1329" s="104"/>
      <c r="O1329" s="104"/>
      <c r="P1329" s="104"/>
      <c r="Q1329" s="104"/>
      <c r="R1329" s="104"/>
      <c r="S1329" s="104"/>
      <c r="T1329" s="104"/>
      <c r="U1329" s="104"/>
      <c r="V1329" s="104"/>
      <c r="W1329" s="104"/>
      <c r="X1329" s="104"/>
      <c r="Y1329" s="104"/>
      <c r="Z1329" s="104"/>
      <c r="AA1329" s="104"/>
      <c r="AB1329" s="104"/>
      <c r="AC1329" s="104"/>
      <c r="AD1329" s="104"/>
    </row>
    <row r="1330" spans="1:30" ht="12.75">
      <c r="A1330" s="104"/>
      <c r="B1330" s="104"/>
      <c r="C1330" s="104"/>
      <c r="D1330" s="104"/>
      <c r="E1330" s="104"/>
      <c r="F1330" s="193"/>
      <c r="G1330" s="104"/>
      <c r="H1330" s="104"/>
      <c r="I1330" s="104"/>
      <c r="J1330" s="104"/>
      <c r="K1330" s="104"/>
      <c r="L1330" s="104"/>
      <c r="M1330" s="104"/>
      <c r="N1330" s="104"/>
      <c r="O1330" s="104"/>
      <c r="P1330" s="104"/>
      <c r="Q1330" s="104"/>
      <c r="R1330" s="104"/>
      <c r="S1330" s="104"/>
      <c r="T1330" s="104"/>
      <c r="U1330" s="104"/>
      <c r="V1330" s="104"/>
      <c r="W1330" s="104"/>
      <c r="X1330" s="104"/>
      <c r="Y1330" s="104"/>
      <c r="Z1330" s="104"/>
      <c r="AA1330" s="104"/>
      <c r="AB1330" s="104"/>
      <c r="AC1330" s="104"/>
      <c r="AD1330" s="104"/>
    </row>
    <row r="1331" spans="1:30" ht="12.75">
      <c r="A1331" s="104"/>
      <c r="B1331" s="104"/>
      <c r="C1331" s="104"/>
      <c r="D1331" s="104"/>
      <c r="E1331" s="104"/>
      <c r="F1331" s="193"/>
      <c r="G1331" s="104"/>
      <c r="H1331" s="104"/>
      <c r="I1331" s="104"/>
      <c r="J1331" s="104"/>
      <c r="K1331" s="104"/>
      <c r="L1331" s="104"/>
      <c r="M1331" s="104"/>
      <c r="N1331" s="104"/>
      <c r="O1331" s="104"/>
      <c r="P1331" s="104"/>
      <c r="Q1331" s="104"/>
      <c r="R1331" s="104"/>
      <c r="S1331" s="104"/>
      <c r="T1331" s="104"/>
      <c r="U1331" s="104"/>
      <c r="V1331" s="104"/>
      <c r="W1331" s="104"/>
      <c r="X1331" s="104"/>
      <c r="Y1331" s="104"/>
      <c r="Z1331" s="104"/>
      <c r="AA1331" s="104"/>
      <c r="AB1331" s="104"/>
      <c r="AC1331" s="104"/>
      <c r="AD1331" s="104"/>
    </row>
    <row r="1332" spans="1:30" ht="12.75">
      <c r="A1332" s="104"/>
      <c r="B1332" s="104"/>
      <c r="C1332" s="104"/>
      <c r="D1332" s="104"/>
      <c r="E1332" s="104"/>
      <c r="F1332" s="193"/>
      <c r="G1332" s="104"/>
      <c r="H1332" s="104"/>
      <c r="I1332" s="104"/>
      <c r="J1332" s="104"/>
      <c r="K1332" s="104"/>
      <c r="L1332" s="104"/>
      <c r="M1332" s="104"/>
      <c r="N1332" s="104"/>
      <c r="O1332" s="104"/>
      <c r="P1332" s="104"/>
      <c r="Q1332" s="104"/>
      <c r="R1332" s="104"/>
      <c r="S1332" s="104"/>
      <c r="T1332" s="104"/>
      <c r="U1332" s="104"/>
      <c r="V1332" s="104"/>
      <c r="W1332" s="104"/>
      <c r="X1332" s="104"/>
      <c r="Y1332" s="104"/>
      <c r="Z1332" s="104"/>
      <c r="AA1332" s="104"/>
      <c r="AB1332" s="104"/>
      <c r="AC1332" s="104"/>
      <c r="AD1332" s="104"/>
    </row>
    <row r="1333" spans="1:30" ht="12.75">
      <c r="A1333" s="104"/>
      <c r="B1333" s="104"/>
      <c r="C1333" s="104"/>
      <c r="D1333" s="104"/>
      <c r="E1333" s="104"/>
      <c r="F1333" s="193"/>
      <c r="G1333" s="104"/>
      <c r="H1333" s="104"/>
      <c r="I1333" s="104"/>
      <c r="J1333" s="104"/>
      <c r="K1333" s="104"/>
      <c r="L1333" s="104"/>
      <c r="M1333" s="104"/>
      <c r="N1333" s="104"/>
      <c r="O1333" s="104"/>
      <c r="P1333" s="104"/>
      <c r="Q1333" s="104"/>
      <c r="R1333" s="104"/>
      <c r="S1333" s="104"/>
      <c r="T1333" s="104"/>
      <c r="U1333" s="104"/>
      <c r="V1333" s="104"/>
      <c r="W1333" s="104"/>
      <c r="X1333" s="104"/>
      <c r="Y1333" s="104"/>
      <c r="Z1333" s="104"/>
      <c r="AA1333" s="104"/>
      <c r="AB1333" s="104"/>
      <c r="AC1333" s="104"/>
      <c r="AD1333" s="104"/>
    </row>
    <row r="1334" spans="1:30" ht="12.75">
      <c r="A1334" s="104"/>
      <c r="B1334" s="104"/>
      <c r="C1334" s="104"/>
      <c r="D1334" s="104"/>
      <c r="E1334" s="104"/>
      <c r="F1334" s="193"/>
      <c r="G1334" s="104"/>
      <c r="H1334" s="104"/>
      <c r="I1334" s="104"/>
      <c r="J1334" s="104"/>
      <c r="K1334" s="104"/>
      <c r="L1334" s="104"/>
      <c r="M1334" s="104"/>
      <c r="N1334" s="104"/>
      <c r="O1334" s="104"/>
      <c r="P1334" s="104"/>
      <c r="Q1334" s="104"/>
      <c r="R1334" s="104"/>
      <c r="S1334" s="104"/>
      <c r="T1334" s="104"/>
      <c r="U1334" s="104"/>
      <c r="V1334" s="104"/>
      <c r="W1334" s="104"/>
      <c r="X1334" s="104"/>
      <c r="Y1334" s="104"/>
      <c r="Z1334" s="104"/>
      <c r="AA1334" s="104"/>
      <c r="AB1334" s="104"/>
      <c r="AC1334" s="104"/>
      <c r="AD1334" s="104"/>
    </row>
    <row r="1335" spans="1:30" ht="12.75">
      <c r="A1335" s="104"/>
      <c r="B1335" s="104"/>
      <c r="C1335" s="104"/>
      <c r="D1335" s="104"/>
      <c r="E1335" s="104"/>
      <c r="F1335" s="193"/>
      <c r="G1335" s="104"/>
      <c r="H1335" s="104"/>
      <c r="I1335" s="104"/>
      <c r="J1335" s="104"/>
      <c r="K1335" s="104"/>
      <c r="L1335" s="104"/>
      <c r="M1335" s="104"/>
      <c r="N1335" s="104"/>
      <c r="O1335" s="104"/>
      <c r="P1335" s="104"/>
      <c r="Q1335" s="104"/>
      <c r="R1335" s="104"/>
      <c r="S1335" s="104"/>
      <c r="T1335" s="104"/>
      <c r="U1335" s="104"/>
      <c r="V1335" s="104"/>
      <c r="W1335" s="104"/>
      <c r="X1335" s="104"/>
      <c r="Y1335" s="104"/>
      <c r="Z1335" s="104"/>
      <c r="AA1335" s="104"/>
      <c r="AB1335" s="104"/>
      <c r="AC1335" s="104"/>
      <c r="AD1335" s="104"/>
    </row>
    <row r="1336" spans="1:30" ht="12.75">
      <c r="A1336" s="104"/>
      <c r="B1336" s="104"/>
      <c r="C1336" s="104"/>
      <c r="D1336" s="104"/>
      <c r="E1336" s="104"/>
      <c r="F1336" s="193"/>
      <c r="G1336" s="104"/>
      <c r="H1336" s="104"/>
      <c r="I1336" s="104"/>
      <c r="J1336" s="104"/>
      <c r="K1336" s="104"/>
      <c r="L1336" s="104"/>
      <c r="M1336" s="104"/>
      <c r="N1336" s="104"/>
      <c r="O1336" s="104"/>
      <c r="P1336" s="104"/>
      <c r="Q1336" s="104"/>
      <c r="R1336" s="104"/>
      <c r="S1336" s="104"/>
      <c r="T1336" s="104"/>
      <c r="U1336" s="104"/>
      <c r="V1336" s="104"/>
      <c r="W1336" s="104"/>
      <c r="X1336" s="104"/>
      <c r="Y1336" s="104"/>
      <c r="Z1336" s="104"/>
      <c r="AA1336" s="104"/>
      <c r="AB1336" s="104"/>
      <c r="AC1336" s="104"/>
      <c r="AD1336" s="104"/>
    </row>
    <row r="1337" spans="1:30" ht="12.75">
      <c r="A1337" s="104"/>
      <c r="B1337" s="104"/>
      <c r="C1337" s="104"/>
      <c r="D1337" s="104"/>
      <c r="E1337" s="104"/>
      <c r="F1337" s="193"/>
      <c r="G1337" s="104"/>
      <c r="H1337" s="104"/>
      <c r="I1337" s="104"/>
      <c r="J1337" s="104"/>
      <c r="K1337" s="104"/>
      <c r="L1337" s="104"/>
      <c r="M1337" s="104"/>
      <c r="N1337" s="104"/>
      <c r="O1337" s="104"/>
      <c r="P1337" s="104"/>
      <c r="Q1337" s="104"/>
      <c r="R1337" s="104"/>
      <c r="S1337" s="104"/>
      <c r="T1337" s="104"/>
      <c r="U1337" s="104"/>
      <c r="V1337" s="104"/>
      <c r="W1337" s="104"/>
      <c r="X1337" s="104"/>
      <c r="Y1337" s="104"/>
      <c r="Z1337" s="104"/>
      <c r="AA1337" s="104"/>
      <c r="AB1337" s="104"/>
      <c r="AC1337" s="104"/>
      <c r="AD1337" s="104"/>
    </row>
    <row r="1338" spans="1:30" ht="12.75">
      <c r="A1338" s="104"/>
      <c r="B1338" s="104"/>
      <c r="C1338" s="104"/>
      <c r="D1338" s="104"/>
      <c r="E1338" s="104"/>
      <c r="F1338" s="193"/>
      <c r="G1338" s="104"/>
      <c r="H1338" s="104"/>
      <c r="I1338" s="104"/>
      <c r="J1338" s="104"/>
      <c r="K1338" s="104"/>
      <c r="L1338" s="104"/>
      <c r="M1338" s="104"/>
      <c r="N1338" s="104"/>
      <c r="O1338" s="104"/>
      <c r="P1338" s="104"/>
      <c r="Q1338" s="104"/>
      <c r="R1338" s="104"/>
      <c r="S1338" s="104"/>
      <c r="T1338" s="104"/>
      <c r="U1338" s="104"/>
      <c r="V1338" s="104"/>
      <c r="W1338" s="104"/>
      <c r="X1338" s="104"/>
      <c r="Y1338" s="104"/>
      <c r="Z1338" s="104"/>
      <c r="AA1338" s="104"/>
      <c r="AB1338" s="104"/>
      <c r="AC1338" s="104"/>
      <c r="AD1338" s="104"/>
    </row>
    <row r="1339" spans="1:30" ht="12.75">
      <c r="A1339" s="104"/>
      <c r="B1339" s="104"/>
      <c r="C1339" s="104"/>
      <c r="D1339" s="104"/>
      <c r="E1339" s="104"/>
      <c r="F1339" s="193"/>
      <c r="G1339" s="104"/>
      <c r="H1339" s="104"/>
      <c r="I1339" s="104"/>
      <c r="J1339" s="104"/>
      <c r="K1339" s="104"/>
      <c r="L1339" s="104"/>
      <c r="M1339" s="104"/>
      <c r="N1339" s="104"/>
      <c r="O1339" s="104"/>
      <c r="P1339" s="104"/>
      <c r="Q1339" s="104"/>
      <c r="R1339" s="104"/>
      <c r="S1339" s="104"/>
      <c r="T1339" s="104"/>
      <c r="U1339" s="104"/>
      <c r="V1339" s="104"/>
      <c r="W1339" s="104"/>
      <c r="X1339" s="104"/>
      <c r="Y1339" s="104"/>
      <c r="Z1339" s="104"/>
      <c r="AA1339" s="104"/>
      <c r="AB1339" s="104"/>
      <c r="AC1339" s="104"/>
      <c r="AD1339" s="104"/>
    </row>
    <row r="1340" spans="1:30" ht="12.75">
      <c r="A1340" s="104"/>
      <c r="B1340" s="104"/>
      <c r="C1340" s="104"/>
      <c r="D1340" s="104"/>
      <c r="E1340" s="104"/>
      <c r="F1340" s="193"/>
      <c r="G1340" s="104"/>
      <c r="H1340" s="104"/>
      <c r="I1340" s="104"/>
      <c r="J1340" s="104"/>
      <c r="K1340" s="104"/>
      <c r="L1340" s="104"/>
      <c r="M1340" s="104"/>
      <c r="N1340" s="104"/>
      <c r="O1340" s="104"/>
      <c r="P1340" s="104"/>
      <c r="Q1340" s="104"/>
      <c r="R1340" s="104"/>
      <c r="S1340" s="104"/>
      <c r="T1340" s="104"/>
      <c r="U1340" s="104"/>
      <c r="V1340" s="104"/>
      <c r="W1340" s="104"/>
      <c r="X1340" s="104"/>
      <c r="Y1340" s="104"/>
      <c r="Z1340" s="104"/>
      <c r="AA1340" s="104"/>
      <c r="AB1340" s="104"/>
      <c r="AC1340" s="104"/>
      <c r="AD1340" s="104"/>
    </row>
    <row r="1341" spans="1:30" ht="12.75">
      <c r="A1341" s="104"/>
      <c r="B1341" s="104"/>
      <c r="C1341" s="104"/>
      <c r="D1341" s="104"/>
      <c r="E1341" s="104"/>
      <c r="F1341" s="193"/>
      <c r="G1341" s="104"/>
      <c r="H1341" s="104"/>
      <c r="I1341" s="104"/>
      <c r="J1341" s="104"/>
      <c r="K1341" s="104"/>
      <c r="L1341" s="104"/>
      <c r="M1341" s="104"/>
      <c r="N1341" s="104"/>
      <c r="O1341" s="104"/>
      <c r="P1341" s="104"/>
      <c r="Q1341" s="104"/>
      <c r="R1341" s="104"/>
      <c r="S1341" s="104"/>
      <c r="T1341" s="104"/>
      <c r="U1341" s="104"/>
      <c r="V1341" s="104"/>
      <c r="W1341" s="104"/>
      <c r="X1341" s="104"/>
      <c r="Y1341" s="104"/>
      <c r="Z1341" s="104"/>
      <c r="AA1341" s="104"/>
      <c r="AB1341" s="104"/>
      <c r="AC1341" s="104"/>
      <c r="AD1341" s="104"/>
    </row>
    <row r="1342" spans="1:30" ht="12.75">
      <c r="A1342" s="104"/>
      <c r="B1342" s="104"/>
      <c r="C1342" s="104"/>
      <c r="D1342" s="104"/>
      <c r="E1342" s="104"/>
      <c r="F1342" s="193"/>
      <c r="G1342" s="104"/>
      <c r="H1342" s="104"/>
      <c r="I1342" s="104"/>
      <c r="J1342" s="104"/>
      <c r="K1342" s="104"/>
      <c r="L1342" s="104"/>
      <c r="M1342" s="104"/>
      <c r="N1342" s="104"/>
      <c r="O1342" s="104"/>
      <c r="P1342" s="104"/>
      <c r="Q1342" s="104"/>
      <c r="R1342" s="104"/>
      <c r="S1342" s="104"/>
      <c r="T1342" s="104"/>
      <c r="U1342" s="104"/>
      <c r="V1342" s="104"/>
      <c r="W1342" s="104"/>
      <c r="X1342" s="104"/>
      <c r="Y1342" s="104"/>
      <c r="Z1342" s="104"/>
      <c r="AA1342" s="104"/>
      <c r="AB1342" s="104"/>
      <c r="AC1342" s="104"/>
      <c r="AD1342" s="104"/>
    </row>
    <row r="1343" spans="1:30" ht="12.75">
      <c r="A1343" s="104"/>
      <c r="B1343" s="104"/>
      <c r="C1343" s="104"/>
      <c r="D1343" s="104"/>
      <c r="E1343" s="104"/>
      <c r="F1343" s="193"/>
      <c r="G1343" s="104"/>
      <c r="H1343" s="104"/>
      <c r="I1343" s="104"/>
      <c r="J1343" s="104"/>
      <c r="K1343" s="104"/>
      <c r="L1343" s="104"/>
      <c r="M1343" s="104"/>
      <c r="N1343" s="104"/>
      <c r="O1343" s="104"/>
      <c r="P1343" s="104"/>
      <c r="Q1343" s="104"/>
      <c r="R1343" s="104"/>
      <c r="S1343" s="104"/>
      <c r="T1343" s="104"/>
      <c r="U1343" s="104"/>
      <c r="V1343" s="104"/>
      <c r="W1343" s="104"/>
      <c r="X1343" s="104"/>
      <c r="Y1343" s="104"/>
      <c r="Z1343" s="104"/>
      <c r="AA1343" s="104"/>
      <c r="AB1343" s="104"/>
      <c r="AC1343" s="104"/>
      <c r="AD1343" s="104"/>
    </row>
    <row r="1344" spans="1:30" ht="12.75">
      <c r="A1344" s="104"/>
      <c r="B1344" s="104"/>
      <c r="C1344" s="104"/>
      <c r="D1344" s="104"/>
      <c r="E1344" s="104"/>
      <c r="F1344" s="193"/>
      <c r="G1344" s="104"/>
      <c r="H1344" s="104"/>
      <c r="I1344" s="104"/>
      <c r="J1344" s="104"/>
      <c r="K1344" s="104"/>
      <c r="L1344" s="104"/>
      <c r="M1344" s="104"/>
      <c r="N1344" s="104"/>
      <c r="O1344" s="104"/>
      <c r="P1344" s="104"/>
      <c r="Q1344" s="104"/>
      <c r="R1344" s="104"/>
      <c r="S1344" s="104"/>
      <c r="T1344" s="104"/>
      <c r="U1344" s="104"/>
      <c r="V1344" s="104"/>
      <c r="W1344" s="104"/>
      <c r="X1344" s="104"/>
      <c r="Y1344" s="104"/>
      <c r="Z1344" s="104"/>
      <c r="AA1344" s="104"/>
      <c r="AB1344" s="104"/>
      <c r="AC1344" s="104"/>
      <c r="AD1344" s="104"/>
    </row>
    <row r="1345" spans="1:30" ht="12.75">
      <c r="A1345" s="104"/>
      <c r="B1345" s="104"/>
      <c r="C1345" s="104"/>
      <c r="D1345" s="104"/>
      <c r="E1345" s="104"/>
      <c r="F1345" s="193"/>
      <c r="G1345" s="104"/>
      <c r="H1345" s="104"/>
      <c r="I1345" s="104"/>
      <c r="J1345" s="104"/>
      <c r="K1345" s="104"/>
      <c r="L1345" s="104"/>
      <c r="M1345" s="104"/>
      <c r="N1345" s="104"/>
      <c r="O1345" s="104"/>
      <c r="P1345" s="104"/>
      <c r="Q1345" s="104"/>
      <c r="R1345" s="104"/>
      <c r="S1345" s="104"/>
      <c r="T1345" s="104"/>
      <c r="U1345" s="104"/>
      <c r="V1345" s="104"/>
      <c r="W1345" s="104"/>
      <c r="X1345" s="104"/>
      <c r="Y1345" s="104"/>
      <c r="Z1345" s="104"/>
      <c r="AA1345" s="104"/>
      <c r="AB1345" s="104"/>
      <c r="AC1345" s="104"/>
      <c r="AD1345" s="104"/>
    </row>
    <row r="1346" spans="1:30" ht="12.75">
      <c r="A1346" s="104"/>
      <c r="B1346" s="104"/>
      <c r="C1346" s="104"/>
      <c r="D1346" s="104"/>
      <c r="E1346" s="104"/>
      <c r="F1346" s="193"/>
      <c r="G1346" s="104"/>
      <c r="H1346" s="104"/>
      <c r="I1346" s="104"/>
      <c r="J1346" s="104"/>
      <c r="K1346" s="104"/>
      <c r="L1346" s="104"/>
      <c r="M1346" s="104"/>
      <c r="N1346" s="104"/>
      <c r="O1346" s="104"/>
      <c r="P1346" s="104"/>
      <c r="Q1346" s="104"/>
      <c r="R1346" s="104"/>
      <c r="S1346" s="104"/>
      <c r="T1346" s="104"/>
      <c r="U1346" s="104"/>
      <c r="V1346" s="104"/>
      <c r="W1346" s="104"/>
      <c r="X1346" s="104"/>
      <c r="Y1346" s="104"/>
      <c r="Z1346" s="104"/>
      <c r="AA1346" s="104"/>
      <c r="AB1346" s="104"/>
      <c r="AC1346" s="104"/>
      <c r="AD1346" s="104"/>
    </row>
    <row r="1347" spans="1:30" ht="12.75">
      <c r="A1347" s="104"/>
      <c r="B1347" s="104"/>
      <c r="C1347" s="104"/>
      <c r="D1347" s="104"/>
      <c r="E1347" s="104"/>
      <c r="F1347" s="193"/>
      <c r="G1347" s="104"/>
      <c r="H1347" s="104"/>
      <c r="I1347" s="104"/>
      <c r="J1347" s="104"/>
      <c r="K1347" s="104"/>
      <c r="L1347" s="104"/>
      <c r="M1347" s="104"/>
      <c r="N1347" s="104"/>
      <c r="O1347" s="104"/>
      <c r="P1347" s="104"/>
      <c r="Q1347" s="104"/>
      <c r="R1347" s="104"/>
      <c r="S1347" s="104"/>
      <c r="T1347" s="104"/>
      <c r="U1347" s="104"/>
      <c r="V1347" s="104"/>
      <c r="W1347" s="104"/>
      <c r="X1347" s="104"/>
      <c r="Y1347" s="104"/>
      <c r="Z1347" s="104"/>
      <c r="AA1347" s="104"/>
      <c r="AB1347" s="104"/>
      <c r="AC1347" s="104"/>
      <c r="AD1347" s="104"/>
    </row>
    <row r="1348" spans="1:30" ht="12.75">
      <c r="A1348" s="104"/>
      <c r="B1348" s="104"/>
      <c r="C1348" s="104"/>
      <c r="D1348" s="104"/>
      <c r="E1348" s="104"/>
      <c r="F1348" s="193"/>
      <c r="G1348" s="104"/>
      <c r="H1348" s="104"/>
      <c r="I1348" s="104"/>
      <c r="J1348" s="104"/>
      <c r="K1348" s="104"/>
      <c r="L1348" s="104"/>
      <c r="M1348" s="104"/>
      <c r="N1348" s="104"/>
      <c r="O1348" s="104"/>
      <c r="P1348" s="104"/>
      <c r="Q1348" s="104"/>
      <c r="R1348" s="104"/>
      <c r="S1348" s="104"/>
      <c r="T1348" s="104"/>
      <c r="U1348" s="104"/>
      <c r="V1348" s="104"/>
      <c r="W1348" s="104"/>
      <c r="X1348" s="104"/>
      <c r="Y1348" s="104"/>
      <c r="Z1348" s="104"/>
      <c r="AA1348" s="104"/>
      <c r="AB1348" s="104"/>
      <c r="AC1348" s="104"/>
      <c r="AD1348" s="104"/>
    </row>
    <row r="1349" spans="1:30" ht="12.75">
      <c r="A1349" s="104"/>
      <c r="B1349" s="104"/>
      <c r="C1349" s="104"/>
      <c r="D1349" s="104"/>
      <c r="E1349" s="104"/>
      <c r="F1349" s="193"/>
      <c r="G1349" s="104"/>
      <c r="H1349" s="104"/>
      <c r="I1349" s="104"/>
      <c r="J1349" s="104"/>
      <c r="K1349" s="104"/>
      <c r="L1349" s="104"/>
      <c r="M1349" s="104"/>
      <c r="N1349" s="104"/>
      <c r="O1349" s="104"/>
      <c r="P1349" s="104"/>
      <c r="Q1349" s="104"/>
      <c r="R1349" s="104"/>
      <c r="S1349" s="104"/>
      <c r="T1349" s="104"/>
      <c r="U1349" s="104"/>
      <c r="V1349" s="104"/>
      <c r="W1349" s="104"/>
      <c r="X1349" s="104"/>
      <c r="Y1349" s="104"/>
      <c r="Z1349" s="104"/>
      <c r="AA1349" s="104"/>
      <c r="AB1349" s="104"/>
      <c r="AC1349" s="104"/>
      <c r="AD1349" s="104"/>
    </row>
    <row r="1350" spans="1:30" ht="12.75">
      <c r="A1350" s="104"/>
      <c r="B1350" s="104"/>
      <c r="C1350" s="104"/>
      <c r="D1350" s="104"/>
      <c r="E1350" s="104"/>
      <c r="F1350" s="193"/>
      <c r="G1350" s="104"/>
      <c r="H1350" s="104"/>
      <c r="I1350" s="104"/>
      <c r="J1350" s="104"/>
      <c r="K1350" s="104"/>
      <c r="L1350" s="104"/>
      <c r="M1350" s="104"/>
      <c r="N1350" s="104"/>
      <c r="O1350" s="104"/>
      <c r="P1350" s="104"/>
      <c r="Q1350" s="104"/>
      <c r="R1350" s="104"/>
      <c r="S1350" s="104"/>
      <c r="T1350" s="104"/>
      <c r="U1350" s="104"/>
      <c r="V1350" s="104"/>
      <c r="W1350" s="104"/>
      <c r="X1350" s="104"/>
      <c r="Y1350" s="104"/>
      <c r="Z1350" s="104"/>
      <c r="AA1350" s="104"/>
      <c r="AB1350" s="104"/>
      <c r="AC1350" s="104"/>
      <c r="AD1350" s="104"/>
    </row>
    <row r="1351" spans="1:30" ht="12.75">
      <c r="A1351" s="104"/>
      <c r="B1351" s="104"/>
      <c r="C1351" s="104"/>
      <c r="D1351" s="104"/>
      <c r="E1351" s="104"/>
      <c r="F1351" s="193"/>
      <c r="G1351" s="104"/>
      <c r="H1351" s="104"/>
      <c r="I1351" s="104"/>
      <c r="J1351" s="104"/>
      <c r="K1351" s="104"/>
      <c r="L1351" s="104"/>
      <c r="M1351" s="104"/>
      <c r="N1351" s="104"/>
      <c r="O1351" s="104"/>
      <c r="P1351" s="104"/>
      <c r="Q1351" s="104"/>
      <c r="R1351" s="104"/>
      <c r="S1351" s="104"/>
      <c r="T1351" s="104"/>
      <c r="U1351" s="104"/>
      <c r="V1351" s="104"/>
      <c r="W1351" s="104"/>
      <c r="X1351" s="104"/>
      <c r="Y1351" s="104"/>
      <c r="Z1351" s="104"/>
      <c r="AA1351" s="104"/>
      <c r="AB1351" s="104"/>
      <c r="AC1351" s="104"/>
      <c r="AD1351" s="104"/>
    </row>
    <row r="1352" spans="1:30" ht="12.75">
      <c r="A1352" s="104"/>
      <c r="B1352" s="104"/>
      <c r="C1352" s="104"/>
      <c r="D1352" s="104"/>
      <c r="E1352" s="104"/>
      <c r="F1352" s="193"/>
      <c r="G1352" s="104"/>
      <c r="H1352" s="104"/>
      <c r="I1352" s="104"/>
      <c r="J1352" s="104"/>
      <c r="K1352" s="104"/>
      <c r="L1352" s="104"/>
      <c r="M1352" s="104"/>
      <c r="N1352" s="104"/>
      <c r="O1352" s="104"/>
      <c r="P1352" s="104"/>
      <c r="Q1352" s="104"/>
      <c r="R1352" s="104"/>
      <c r="S1352" s="104"/>
      <c r="T1352" s="104"/>
      <c r="U1352" s="104"/>
      <c r="V1352" s="104"/>
      <c r="W1352" s="104"/>
      <c r="X1352" s="104"/>
      <c r="Y1352" s="104"/>
      <c r="Z1352" s="104"/>
      <c r="AA1352" s="104"/>
      <c r="AB1352" s="104"/>
      <c r="AC1352" s="104"/>
      <c r="AD1352" s="104"/>
    </row>
    <row r="1353" spans="1:30" ht="12.75">
      <c r="A1353" s="104"/>
      <c r="B1353" s="104"/>
      <c r="C1353" s="104"/>
      <c r="D1353" s="104"/>
      <c r="E1353" s="104"/>
      <c r="F1353" s="193"/>
      <c r="G1353" s="104"/>
      <c r="H1353" s="104"/>
      <c r="I1353" s="104"/>
      <c r="J1353" s="104"/>
      <c r="K1353" s="104"/>
      <c r="L1353" s="104"/>
      <c r="M1353" s="104"/>
      <c r="N1353" s="104"/>
      <c r="O1353" s="104"/>
      <c r="P1353" s="104"/>
      <c r="Q1353" s="104"/>
      <c r="R1353" s="104"/>
      <c r="S1353" s="104"/>
      <c r="T1353" s="104"/>
      <c r="U1353" s="104"/>
      <c r="V1353" s="104"/>
      <c r="W1353" s="104"/>
      <c r="X1353" s="104"/>
      <c r="Y1353" s="104"/>
      <c r="Z1353" s="104"/>
      <c r="AA1353" s="104"/>
      <c r="AB1353" s="104"/>
      <c r="AC1353" s="104"/>
      <c r="AD1353" s="104"/>
    </row>
    <row r="1354" spans="1:30" ht="12.75">
      <c r="A1354" s="104"/>
      <c r="B1354" s="104"/>
      <c r="C1354" s="104"/>
      <c r="D1354" s="104"/>
      <c r="E1354" s="104"/>
      <c r="F1354" s="193"/>
      <c r="G1354" s="104"/>
      <c r="H1354" s="104"/>
      <c r="I1354" s="104"/>
      <c r="J1354" s="104"/>
      <c r="K1354" s="104"/>
      <c r="L1354" s="104"/>
      <c r="M1354" s="104"/>
      <c r="N1354" s="104"/>
      <c r="O1354" s="104"/>
      <c r="P1354" s="104"/>
      <c r="Q1354" s="104"/>
      <c r="R1354" s="104"/>
      <c r="S1354" s="104"/>
      <c r="T1354" s="104"/>
      <c r="U1354" s="104"/>
      <c r="V1354" s="104"/>
      <c r="W1354" s="104"/>
      <c r="X1354" s="104"/>
      <c r="Y1354" s="104"/>
      <c r="Z1354" s="104"/>
      <c r="AA1354" s="104"/>
      <c r="AB1354" s="104"/>
      <c r="AC1354" s="104"/>
      <c r="AD1354" s="104"/>
    </row>
    <row r="1355" spans="1:30" ht="12.75">
      <c r="A1355" s="104"/>
      <c r="B1355" s="104"/>
      <c r="C1355" s="104"/>
      <c r="D1355" s="104"/>
      <c r="E1355" s="104"/>
      <c r="F1355" s="193"/>
      <c r="G1355" s="104"/>
      <c r="H1355" s="104"/>
      <c r="I1355" s="104"/>
      <c r="J1355" s="104"/>
      <c r="K1355" s="104"/>
      <c r="L1355" s="104"/>
      <c r="M1355" s="104"/>
      <c r="N1355" s="104"/>
      <c r="O1355" s="104"/>
      <c r="P1355" s="104"/>
      <c r="Q1355" s="104"/>
      <c r="R1355" s="104"/>
      <c r="S1355" s="104"/>
      <c r="T1355" s="104"/>
      <c r="U1355" s="104"/>
      <c r="V1355" s="104"/>
      <c r="W1355" s="104"/>
      <c r="X1355" s="104"/>
      <c r="Y1355" s="104"/>
      <c r="Z1355" s="104"/>
      <c r="AA1355" s="104"/>
      <c r="AB1355" s="104"/>
      <c r="AC1355" s="104"/>
      <c r="AD1355" s="104"/>
    </row>
    <row r="1356" spans="1:30" ht="12.75">
      <c r="A1356" s="104"/>
      <c r="B1356" s="104"/>
      <c r="C1356" s="104"/>
      <c r="D1356" s="104"/>
      <c r="E1356" s="104"/>
      <c r="F1356" s="193"/>
      <c r="G1356" s="104"/>
      <c r="H1356" s="104"/>
      <c r="I1356" s="104"/>
      <c r="J1356" s="104"/>
      <c r="K1356" s="104"/>
      <c r="L1356" s="104"/>
      <c r="M1356" s="104"/>
      <c r="N1356" s="104"/>
      <c r="O1356" s="104"/>
      <c r="P1356" s="104"/>
      <c r="Q1356" s="104"/>
      <c r="R1356" s="104"/>
      <c r="S1356" s="104"/>
      <c r="T1356" s="104"/>
      <c r="U1356" s="104"/>
      <c r="V1356" s="104"/>
      <c r="W1356" s="104"/>
      <c r="X1356" s="104"/>
      <c r="Y1356" s="104"/>
      <c r="Z1356" s="104"/>
      <c r="AA1356" s="104"/>
      <c r="AB1356" s="104"/>
      <c r="AC1356" s="104"/>
      <c r="AD1356" s="104"/>
    </row>
    <row r="1357" spans="1:30" ht="12.75">
      <c r="A1357" s="104"/>
      <c r="B1357" s="104"/>
      <c r="C1357" s="104"/>
      <c r="D1357" s="104"/>
      <c r="E1357" s="104"/>
      <c r="F1357" s="193"/>
      <c r="G1357" s="104"/>
      <c r="H1357" s="104"/>
      <c r="I1357" s="104"/>
      <c r="J1357" s="104"/>
      <c r="K1357" s="104"/>
      <c r="L1357" s="104"/>
      <c r="M1357" s="104"/>
      <c r="N1357" s="104"/>
      <c r="O1357" s="104"/>
      <c r="P1357" s="104"/>
      <c r="Q1357" s="104"/>
      <c r="R1357" s="104"/>
      <c r="S1357" s="104"/>
      <c r="T1357" s="104"/>
      <c r="U1357" s="104"/>
      <c r="V1357" s="104"/>
      <c r="W1357" s="104"/>
      <c r="X1357" s="104"/>
      <c r="Y1357" s="104"/>
      <c r="Z1357" s="104"/>
      <c r="AA1357" s="104"/>
      <c r="AB1357" s="104"/>
      <c r="AC1357" s="104"/>
      <c r="AD1357" s="104"/>
    </row>
    <row r="1358" spans="1:30" ht="12.75">
      <c r="A1358" s="104"/>
      <c r="B1358" s="104"/>
      <c r="C1358" s="104"/>
      <c r="D1358" s="104"/>
      <c r="E1358" s="104"/>
      <c r="F1358" s="193"/>
      <c r="G1358" s="104"/>
      <c r="H1358" s="104"/>
      <c r="I1358" s="104"/>
      <c r="J1358" s="104"/>
      <c r="K1358" s="104"/>
      <c r="L1358" s="104"/>
      <c r="M1358" s="104"/>
      <c r="N1358" s="104"/>
      <c r="O1358" s="104"/>
      <c r="P1358" s="104"/>
      <c r="Q1358" s="104"/>
      <c r="R1358" s="104"/>
      <c r="S1358" s="104"/>
      <c r="T1358" s="104"/>
      <c r="U1358" s="104"/>
      <c r="V1358" s="104"/>
      <c r="W1358" s="104"/>
      <c r="X1358" s="104"/>
      <c r="Y1358" s="104"/>
      <c r="Z1358" s="104"/>
      <c r="AA1358" s="104"/>
      <c r="AB1358" s="104"/>
      <c r="AC1358" s="104"/>
      <c r="AD1358" s="104"/>
    </row>
    <row r="1359" spans="1:30" ht="12.75">
      <c r="A1359" s="104"/>
      <c r="B1359" s="104"/>
      <c r="C1359" s="104"/>
      <c r="D1359" s="104"/>
      <c r="E1359" s="104"/>
      <c r="F1359" s="193"/>
      <c r="G1359" s="104"/>
      <c r="H1359" s="104"/>
      <c r="I1359" s="104"/>
      <c r="J1359" s="104"/>
      <c r="K1359" s="104"/>
      <c r="L1359" s="104"/>
      <c r="M1359" s="104"/>
      <c r="N1359" s="104"/>
      <c r="O1359" s="104"/>
      <c r="P1359" s="104"/>
      <c r="Q1359" s="104"/>
      <c r="R1359" s="104"/>
      <c r="S1359" s="104"/>
      <c r="T1359" s="104"/>
      <c r="U1359" s="104"/>
      <c r="V1359" s="104"/>
      <c r="W1359" s="104"/>
      <c r="X1359" s="104"/>
      <c r="Y1359" s="104"/>
      <c r="Z1359" s="104"/>
      <c r="AA1359" s="104"/>
      <c r="AB1359" s="104"/>
      <c r="AC1359" s="104"/>
      <c r="AD1359" s="104"/>
    </row>
  </sheetData>
  <mergeCells count="68">
    <mergeCell ref="A134:A136"/>
    <mergeCell ref="H134:H136"/>
    <mergeCell ref="A351:J351"/>
    <mergeCell ref="A380:J380"/>
    <mergeCell ref="A420:J420"/>
    <mergeCell ref="A100:A102"/>
    <mergeCell ref="A106:J106"/>
    <mergeCell ref="A108:A110"/>
    <mergeCell ref="A130:J130"/>
    <mergeCell ref="A131:A133"/>
    <mergeCell ref="A85:J85"/>
    <mergeCell ref="A91:H91"/>
    <mergeCell ref="A93:A94"/>
    <mergeCell ref="A95:A96"/>
    <mergeCell ref="A98:J98"/>
    <mergeCell ref="A60:J60"/>
    <mergeCell ref="A63:A70"/>
    <mergeCell ref="A71:A72"/>
    <mergeCell ref="A73:A78"/>
    <mergeCell ref="A79:A84"/>
    <mergeCell ref="A30:A31"/>
    <mergeCell ref="A33:A38"/>
    <mergeCell ref="A39:A46"/>
    <mergeCell ref="A47:A54"/>
    <mergeCell ref="C47:C54"/>
    <mergeCell ref="H342:H350"/>
    <mergeCell ref="A2:D2"/>
    <mergeCell ref="F2:J2"/>
    <mergeCell ref="D4:D7"/>
    <mergeCell ref="J4:J7"/>
    <mergeCell ref="A11:J11"/>
    <mergeCell ref="A12:A16"/>
    <mergeCell ref="A17:J17"/>
    <mergeCell ref="C30:C31"/>
    <mergeCell ref="A32:J32"/>
    <mergeCell ref="A19:A20"/>
    <mergeCell ref="C19:C20"/>
    <mergeCell ref="A21:A23"/>
    <mergeCell ref="C21:C29"/>
    <mergeCell ref="A24:A26"/>
    <mergeCell ref="A27:A29"/>
    <mergeCell ref="A297:D297"/>
    <mergeCell ref="D299:D302"/>
    <mergeCell ref="A304:J304"/>
    <mergeCell ref="A324:J324"/>
    <mergeCell ref="A335:J335"/>
    <mergeCell ref="A281:J281"/>
    <mergeCell ref="A282:A284"/>
    <mergeCell ref="C283:C284"/>
    <mergeCell ref="C287:C288"/>
    <mergeCell ref="E287:E288"/>
    <mergeCell ref="F287:F288"/>
    <mergeCell ref="A287:A292"/>
    <mergeCell ref="A223:J223"/>
    <mergeCell ref="A234:J234"/>
    <mergeCell ref="A245:J245"/>
    <mergeCell ref="A258:J258"/>
    <mergeCell ref="A270:J270"/>
    <mergeCell ref="A186:J186"/>
    <mergeCell ref="A197:J197"/>
    <mergeCell ref="A207:J207"/>
    <mergeCell ref="A220:J220"/>
    <mergeCell ref="A221:J221"/>
    <mergeCell ref="A141:J141"/>
    <mergeCell ref="A143:J143"/>
    <mergeCell ref="A153:J153"/>
    <mergeCell ref="A165:J165"/>
    <mergeCell ref="A177:J177"/>
  </mergeCells>
  <dataValidations count="1">
    <dataValidation type="list" allowBlank="1" showErrorMessage="1" sqref="G12:G16 G18:G31 G33:G59 G61:G84 G86:G90 G92:G97 G99:G105 G107:G129 G131:G140 G142 G144:G152 G154:G164 G166:G176 G178:G185 G187:G196 G198:G206 G208:G219 G222 G224:G233 G235:G244 G246:G257 G259:G269 G271:G280 G282:G294 G305:G323 G325:G334 G336:G350 G352:G379 G381:G419 G421:G427" xr:uid="{00000000-0002-0000-0400-000000000000}">
      <formula1>"PASSED,FAILED,NOT STARTED"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Y325"/>
  <sheetViews>
    <sheetView workbookViewId="0"/>
  </sheetViews>
  <sheetFormatPr defaultColWidth="12.5703125" defaultRowHeight="15.75" customHeight="1"/>
  <cols>
    <col min="1" max="1" width="25.7109375" customWidth="1"/>
    <col min="2" max="2" width="39" customWidth="1"/>
    <col min="3" max="3" width="28.7109375" customWidth="1"/>
    <col min="4" max="4" width="38.28515625" customWidth="1"/>
    <col min="5" max="5" width="31.42578125" customWidth="1"/>
    <col min="6" max="6" width="25.5703125" customWidth="1"/>
    <col min="7" max="7" width="32.42578125" customWidth="1"/>
    <col min="8" max="8" width="35.85546875" customWidth="1"/>
    <col min="9" max="9" width="50.5703125" customWidth="1"/>
  </cols>
  <sheetData>
    <row r="1" spans="1:9" ht="14.25">
      <c r="A1" s="240" t="s">
        <v>0</v>
      </c>
      <c r="B1" s="237"/>
      <c r="C1" s="237"/>
      <c r="D1" s="238"/>
      <c r="F1" s="249" t="s">
        <v>1</v>
      </c>
      <c r="G1" s="237"/>
      <c r="H1" s="237"/>
      <c r="I1" s="238"/>
    </row>
    <row r="2" spans="1:9" ht="15">
      <c r="A2" s="1"/>
      <c r="B2" s="2" t="s">
        <v>2</v>
      </c>
      <c r="C2" s="2" t="s">
        <v>3</v>
      </c>
      <c r="D2" s="3" t="s">
        <v>4</v>
      </c>
      <c r="F2" s="4"/>
      <c r="G2" s="5" t="s">
        <v>2</v>
      </c>
      <c r="H2" s="5" t="s">
        <v>3</v>
      </c>
      <c r="I2" s="6" t="s">
        <v>4</v>
      </c>
    </row>
    <row r="3" spans="1:9" ht="30">
      <c r="A3" s="7" t="s">
        <v>5</v>
      </c>
      <c r="B3" s="8">
        <f>COUNTIF(F11:F104, "NOT YET STARTED")</f>
        <v>0</v>
      </c>
      <c r="C3" s="9">
        <f t="shared" ref="C3:C4" si="0">IFERROR(B3/COUNTIF(B$11:B312, ""), 0)</f>
        <v>0</v>
      </c>
      <c r="D3" s="241">
        <f>IFERROR(B5/B7,"")</f>
        <v>0.12727272727272726</v>
      </c>
      <c r="F3" s="13" t="s">
        <v>5</v>
      </c>
      <c r="G3" s="11">
        <f t="shared" ref="G3:G6" si="1">B3+B188</f>
        <v>0</v>
      </c>
      <c r="H3" s="12">
        <f>IFERROR(G3/G7,"")</f>
        <v>0</v>
      </c>
      <c r="I3" s="250">
        <f>IFERROR(G5/G7,"")</f>
        <v>0.2048611111111111</v>
      </c>
    </row>
    <row r="4" spans="1:9" ht="15">
      <c r="A4" s="7" t="s">
        <v>7</v>
      </c>
      <c r="B4" s="8">
        <f>COUNTIF(F11:F104, "IN PROGRESS")</f>
        <v>0</v>
      </c>
      <c r="C4" s="9">
        <f t="shared" si="0"/>
        <v>0</v>
      </c>
      <c r="D4" s="242"/>
      <c r="F4" s="13" t="s">
        <v>7</v>
      </c>
      <c r="G4" s="11">
        <f t="shared" si="1"/>
        <v>0</v>
      </c>
      <c r="H4" s="12">
        <f>IFERROR(G4/G7,"")</f>
        <v>0</v>
      </c>
      <c r="I4" s="235"/>
    </row>
    <row r="5" spans="1:9" ht="15">
      <c r="A5" s="7" t="s">
        <v>8</v>
      </c>
      <c r="B5" s="8">
        <f>COUNTIF(F11:F182, "PASSED")</f>
        <v>21</v>
      </c>
      <c r="C5" s="9">
        <f>IFERROR(B5/B7,"")</f>
        <v>0.12727272727272726</v>
      </c>
      <c r="D5" s="242"/>
      <c r="F5" s="13" t="s">
        <v>8</v>
      </c>
      <c r="G5" s="11">
        <f t="shared" si="1"/>
        <v>59</v>
      </c>
      <c r="H5" s="12">
        <f>IFERROR(G5/G7,"")</f>
        <v>0.2048611111111111</v>
      </c>
      <c r="I5" s="235"/>
    </row>
    <row r="6" spans="1:9" ht="15">
      <c r="A6" s="7" t="s">
        <v>9</v>
      </c>
      <c r="B6" s="8">
        <f>COUNTIF(F11:F182, "FAILED")</f>
        <v>144</v>
      </c>
      <c r="C6" s="9">
        <f>IFERROR(B6/B7,"")</f>
        <v>0.87272727272727268</v>
      </c>
      <c r="D6" s="242"/>
      <c r="F6" s="13" t="s">
        <v>9</v>
      </c>
      <c r="G6" s="11">
        <f t="shared" si="1"/>
        <v>229</v>
      </c>
      <c r="H6" s="12">
        <f>IFERROR(G6/G7,"")</f>
        <v>0.79513888888888884</v>
      </c>
      <c r="I6" s="235"/>
    </row>
    <row r="7" spans="1:9" ht="19.5">
      <c r="A7" s="14" t="s">
        <v>10</v>
      </c>
      <c r="B7" s="14">
        <f>SUM(B3:B6)</f>
        <v>165</v>
      </c>
      <c r="C7" s="14">
        <f>IFERROR((B7/#REF!)*100,0)</f>
        <v>0</v>
      </c>
      <c r="D7" s="243"/>
      <c r="F7" s="16" t="s">
        <v>10</v>
      </c>
      <c r="G7" s="16">
        <f>SUM(G3:G6)</f>
        <v>288</v>
      </c>
      <c r="H7" s="16">
        <f>IFERROR((G7/#REF!)*100,0)</f>
        <v>0</v>
      </c>
      <c r="I7" s="234"/>
    </row>
    <row r="9" spans="1:9" ht="16.5" customHeight="1">
      <c r="A9" s="18" t="s">
        <v>11</v>
      </c>
      <c r="B9" s="18" t="s">
        <v>12</v>
      </c>
      <c r="C9" s="18" t="s">
        <v>13</v>
      </c>
      <c r="D9" s="19" t="s">
        <v>14</v>
      </c>
      <c r="E9" s="18" t="s">
        <v>15</v>
      </c>
      <c r="F9" s="20" t="s">
        <v>16</v>
      </c>
      <c r="G9" s="21" t="s">
        <v>17</v>
      </c>
    </row>
    <row r="10" spans="1:9" ht="12.75">
      <c r="A10" s="236" t="s">
        <v>18</v>
      </c>
      <c r="B10" s="237"/>
      <c r="C10" s="237"/>
      <c r="D10" s="237"/>
      <c r="E10" s="237"/>
      <c r="F10" s="237"/>
      <c r="G10" s="238"/>
    </row>
    <row r="11" spans="1:9" ht="89.25">
      <c r="A11" s="233" t="s">
        <v>19</v>
      </c>
      <c r="B11" s="23" t="s">
        <v>20</v>
      </c>
      <c r="C11" s="239" t="s">
        <v>21</v>
      </c>
      <c r="D11" s="25" t="s">
        <v>22</v>
      </c>
      <c r="E11" s="26" t="s">
        <v>23</v>
      </c>
      <c r="F11" s="27" t="s">
        <v>24</v>
      </c>
      <c r="G11" s="28"/>
    </row>
    <row r="12" spans="1:9" ht="63.75">
      <c r="A12" s="235"/>
      <c r="B12" s="23" t="s">
        <v>25</v>
      </c>
      <c r="C12" s="235"/>
      <c r="D12" s="25" t="s">
        <v>26</v>
      </c>
      <c r="E12" s="26" t="s">
        <v>27</v>
      </c>
      <c r="F12" s="27" t="s">
        <v>24</v>
      </c>
      <c r="G12" s="28"/>
    </row>
    <row r="13" spans="1:9" ht="102">
      <c r="A13" s="235"/>
      <c r="B13" s="23" t="s">
        <v>28</v>
      </c>
      <c r="C13" s="235"/>
      <c r="D13" s="25" t="s">
        <v>29</v>
      </c>
      <c r="E13" s="26"/>
      <c r="F13" s="27" t="s">
        <v>24</v>
      </c>
      <c r="G13" s="28"/>
    </row>
    <row r="14" spans="1:9" ht="63.75">
      <c r="A14" s="235"/>
      <c r="B14" s="23" t="s">
        <v>31</v>
      </c>
      <c r="C14" s="235"/>
      <c r="D14" s="25" t="s">
        <v>32</v>
      </c>
      <c r="E14" s="26" t="s">
        <v>33</v>
      </c>
      <c r="F14" s="27" t="s">
        <v>24</v>
      </c>
      <c r="G14" s="28"/>
    </row>
    <row r="15" spans="1:9" ht="38.25">
      <c r="A15" s="234"/>
      <c r="B15" s="23" t="s">
        <v>34</v>
      </c>
      <c r="C15" s="234"/>
      <c r="D15" s="25" t="s">
        <v>35</v>
      </c>
      <c r="E15" s="26" t="s">
        <v>36</v>
      </c>
      <c r="F15" s="27" t="s">
        <v>24</v>
      </c>
      <c r="G15" s="28"/>
    </row>
    <row r="16" spans="1:9" ht="12.75">
      <c r="A16" s="236" t="s">
        <v>788</v>
      </c>
      <c r="B16" s="237"/>
      <c r="C16" s="237"/>
      <c r="D16" s="237"/>
      <c r="E16" s="237"/>
      <c r="F16" s="237"/>
      <c r="G16" s="238"/>
    </row>
    <row r="17" spans="1:8" ht="63.75">
      <c r="A17" s="29" t="s">
        <v>37</v>
      </c>
      <c r="B17" s="26" t="s">
        <v>38</v>
      </c>
      <c r="C17" s="27" t="s">
        <v>39</v>
      </c>
      <c r="D17" s="26" t="s">
        <v>40</v>
      </c>
      <c r="E17" s="30" t="s">
        <v>41</v>
      </c>
      <c r="F17" s="27" t="s">
        <v>42</v>
      </c>
      <c r="G17" s="57" t="s">
        <v>2091</v>
      </c>
    </row>
    <row r="18" spans="1:8" ht="63.75">
      <c r="A18" s="245" t="s">
        <v>43</v>
      </c>
      <c r="B18" s="26" t="s">
        <v>44</v>
      </c>
      <c r="C18" s="254" t="s">
        <v>45</v>
      </c>
      <c r="D18" s="26" t="s">
        <v>46</v>
      </c>
      <c r="E18" s="30" t="s">
        <v>47</v>
      </c>
      <c r="F18" s="27" t="s">
        <v>42</v>
      </c>
      <c r="G18" s="57" t="s">
        <v>2092</v>
      </c>
      <c r="H18" s="32" t="s">
        <v>2093</v>
      </c>
    </row>
    <row r="19" spans="1:8" ht="63.75">
      <c r="A19" s="234"/>
      <c r="B19" s="26" t="s">
        <v>48</v>
      </c>
      <c r="C19" s="234"/>
      <c r="D19" s="26" t="s">
        <v>49</v>
      </c>
      <c r="E19" s="30" t="s">
        <v>50</v>
      </c>
      <c r="F19" s="27" t="s">
        <v>42</v>
      </c>
      <c r="G19" s="57" t="s">
        <v>2094</v>
      </c>
    </row>
    <row r="20" spans="1:8" ht="63.75">
      <c r="A20" s="245" t="s">
        <v>71</v>
      </c>
      <c r="B20" s="26" t="s">
        <v>72</v>
      </c>
      <c r="C20" s="254" t="s">
        <v>73</v>
      </c>
      <c r="D20" s="26" t="s">
        <v>74</v>
      </c>
      <c r="E20" s="23" t="s">
        <v>75</v>
      </c>
      <c r="F20" s="27" t="s">
        <v>24</v>
      </c>
      <c r="G20" s="28"/>
    </row>
    <row r="21" spans="1:8" ht="63.75">
      <c r="A21" s="235"/>
      <c r="B21" s="23" t="s">
        <v>789</v>
      </c>
      <c r="C21" s="235"/>
      <c r="D21" s="23" t="s">
        <v>790</v>
      </c>
      <c r="E21" s="30" t="s">
        <v>791</v>
      </c>
      <c r="F21" s="27" t="s">
        <v>24</v>
      </c>
      <c r="G21" s="28"/>
    </row>
    <row r="22" spans="1:8" ht="63.75">
      <c r="A22" s="234"/>
      <c r="B22" s="23" t="s">
        <v>76</v>
      </c>
      <c r="C22" s="234"/>
      <c r="D22" s="23" t="s">
        <v>77</v>
      </c>
      <c r="E22" s="30" t="s">
        <v>78</v>
      </c>
      <c r="F22" s="27" t="s">
        <v>24</v>
      </c>
      <c r="G22" s="28"/>
    </row>
    <row r="23" spans="1:8" ht="12.75">
      <c r="A23" s="236" t="s">
        <v>792</v>
      </c>
      <c r="B23" s="237"/>
      <c r="C23" s="237"/>
      <c r="D23" s="237"/>
      <c r="E23" s="237"/>
      <c r="F23" s="237"/>
      <c r="G23" s="238"/>
    </row>
    <row r="24" spans="1:8" ht="25.5">
      <c r="A24" s="233" t="s">
        <v>793</v>
      </c>
      <c r="B24" s="57" t="s">
        <v>794</v>
      </c>
      <c r="C24" s="239" t="s">
        <v>795</v>
      </c>
      <c r="D24" s="57" t="s">
        <v>796</v>
      </c>
      <c r="E24" s="25" t="s">
        <v>797</v>
      </c>
      <c r="F24" s="27" t="s">
        <v>42</v>
      </c>
      <c r="G24" s="246" t="s">
        <v>2095</v>
      </c>
    </row>
    <row r="25" spans="1:8" ht="25.5">
      <c r="A25" s="235"/>
      <c r="B25" s="25" t="s">
        <v>798</v>
      </c>
      <c r="C25" s="235"/>
      <c r="D25" s="57" t="s">
        <v>799</v>
      </c>
      <c r="E25" s="57" t="s">
        <v>799</v>
      </c>
      <c r="F25" s="27" t="s">
        <v>42</v>
      </c>
      <c r="G25" s="235"/>
    </row>
    <row r="26" spans="1:8" ht="38.25">
      <c r="A26" s="235"/>
      <c r="B26" s="25" t="s">
        <v>801</v>
      </c>
      <c r="C26" s="235"/>
      <c r="D26" s="57" t="s">
        <v>802</v>
      </c>
      <c r="E26" s="25" t="s">
        <v>803</v>
      </c>
      <c r="F26" s="27" t="s">
        <v>42</v>
      </c>
      <c r="G26" s="235"/>
    </row>
    <row r="27" spans="1:8" ht="25.5">
      <c r="A27" s="235"/>
      <c r="B27" s="57" t="s">
        <v>804</v>
      </c>
      <c r="C27" s="235"/>
      <c r="D27" s="57" t="s">
        <v>805</v>
      </c>
      <c r="E27" s="25" t="s">
        <v>806</v>
      </c>
      <c r="F27" s="27" t="s">
        <v>42</v>
      </c>
      <c r="G27" s="235"/>
    </row>
    <row r="28" spans="1:8" ht="38.25">
      <c r="A28" s="235"/>
      <c r="B28" s="25" t="s">
        <v>807</v>
      </c>
      <c r="C28" s="235"/>
      <c r="D28" s="57" t="s">
        <v>808</v>
      </c>
      <c r="E28" s="25" t="s">
        <v>809</v>
      </c>
      <c r="F28" s="27" t="s">
        <v>42</v>
      </c>
      <c r="G28" s="235"/>
    </row>
    <row r="29" spans="1:8" ht="25.5">
      <c r="A29" s="235"/>
      <c r="B29" s="25" t="s">
        <v>810</v>
      </c>
      <c r="C29" s="235"/>
      <c r="D29" s="57" t="s">
        <v>811</v>
      </c>
      <c r="E29" s="25" t="s">
        <v>812</v>
      </c>
      <c r="F29" s="27" t="s">
        <v>42</v>
      </c>
      <c r="G29" s="234"/>
    </row>
    <row r="30" spans="1:8" ht="12.75">
      <c r="A30" s="235"/>
      <c r="B30" s="57" t="s">
        <v>813</v>
      </c>
      <c r="C30" s="235"/>
      <c r="D30" s="57" t="s">
        <v>814</v>
      </c>
      <c r="E30" s="25" t="s">
        <v>815</v>
      </c>
      <c r="F30" s="27" t="s">
        <v>42</v>
      </c>
      <c r="G30" s="253" t="s">
        <v>2096</v>
      </c>
    </row>
    <row r="31" spans="1:8" ht="38.25">
      <c r="A31" s="235"/>
      <c r="B31" s="25" t="s">
        <v>816</v>
      </c>
      <c r="C31" s="235"/>
      <c r="D31" s="57" t="s">
        <v>817</v>
      </c>
      <c r="E31" s="25" t="s">
        <v>818</v>
      </c>
      <c r="F31" s="27" t="s">
        <v>42</v>
      </c>
      <c r="G31" s="235"/>
    </row>
    <row r="32" spans="1:8" ht="25.5">
      <c r="A32" s="235"/>
      <c r="B32" s="25" t="s">
        <v>819</v>
      </c>
      <c r="C32" s="235"/>
      <c r="D32" s="57" t="s">
        <v>820</v>
      </c>
      <c r="E32" s="25" t="s">
        <v>821</v>
      </c>
      <c r="F32" s="27" t="s">
        <v>42</v>
      </c>
      <c r="G32" s="235"/>
    </row>
    <row r="33" spans="1:7" ht="25.5">
      <c r="A33" s="235"/>
      <c r="B33" s="57" t="s">
        <v>822</v>
      </c>
      <c r="C33" s="235"/>
      <c r="D33" s="57" t="s">
        <v>823</v>
      </c>
      <c r="E33" s="25" t="s">
        <v>824</v>
      </c>
      <c r="F33" s="27" t="s">
        <v>42</v>
      </c>
      <c r="G33" s="235"/>
    </row>
    <row r="34" spans="1:7" ht="51">
      <c r="A34" s="234"/>
      <c r="B34" s="25" t="s">
        <v>825</v>
      </c>
      <c r="C34" s="234"/>
      <c r="D34" s="25" t="s">
        <v>826</v>
      </c>
      <c r="E34" s="25" t="s">
        <v>827</v>
      </c>
      <c r="F34" s="27" t="s">
        <v>42</v>
      </c>
      <c r="G34" s="234"/>
    </row>
    <row r="35" spans="1:7" ht="12.75">
      <c r="A35" s="233" t="s">
        <v>828</v>
      </c>
      <c r="B35" s="57" t="s">
        <v>829</v>
      </c>
      <c r="C35" s="239" t="s">
        <v>795</v>
      </c>
      <c r="D35" s="57" t="s">
        <v>830</v>
      </c>
      <c r="E35" s="25" t="s">
        <v>831</v>
      </c>
      <c r="F35" s="27" t="s">
        <v>24</v>
      </c>
      <c r="G35" s="28"/>
    </row>
    <row r="36" spans="1:7" ht="38.25">
      <c r="A36" s="235"/>
      <c r="B36" s="25" t="s">
        <v>832</v>
      </c>
      <c r="C36" s="235"/>
      <c r="D36" s="57" t="s">
        <v>833</v>
      </c>
      <c r="E36" s="25" t="s">
        <v>834</v>
      </c>
      <c r="F36" s="27" t="s">
        <v>24</v>
      </c>
      <c r="G36" s="28"/>
    </row>
    <row r="37" spans="1:7" ht="12.75">
      <c r="A37" s="235"/>
      <c r="B37" s="57" t="s">
        <v>835</v>
      </c>
      <c r="C37" s="235"/>
      <c r="D37" s="57" t="s">
        <v>836</v>
      </c>
      <c r="E37" s="25" t="s">
        <v>821</v>
      </c>
      <c r="F37" s="27" t="s">
        <v>24</v>
      </c>
      <c r="G37" s="28"/>
    </row>
    <row r="38" spans="1:7" ht="51">
      <c r="A38" s="235"/>
      <c r="B38" s="25" t="s">
        <v>837</v>
      </c>
      <c r="C38" s="235"/>
      <c r="D38" s="25" t="s">
        <v>838</v>
      </c>
      <c r="E38" s="25" t="s">
        <v>839</v>
      </c>
      <c r="F38" s="27" t="s">
        <v>42</v>
      </c>
      <c r="G38" s="41" t="s">
        <v>2097</v>
      </c>
    </row>
    <row r="39" spans="1:7" ht="12.75">
      <c r="A39" s="234"/>
      <c r="B39" s="57" t="s">
        <v>840</v>
      </c>
      <c r="C39" s="234"/>
      <c r="D39" s="57" t="s">
        <v>841</v>
      </c>
      <c r="E39" s="25" t="s">
        <v>842</v>
      </c>
      <c r="F39" s="27" t="s">
        <v>42</v>
      </c>
      <c r="G39" s="57" t="s">
        <v>2098</v>
      </c>
    </row>
    <row r="40" spans="1:7" ht="25.5">
      <c r="A40" s="256" t="s">
        <v>843</v>
      </c>
      <c r="B40" s="25" t="s">
        <v>844</v>
      </c>
      <c r="C40" s="255" t="s">
        <v>845</v>
      </c>
      <c r="D40" s="63" t="s">
        <v>846</v>
      </c>
      <c r="E40" s="63" t="s">
        <v>847</v>
      </c>
      <c r="F40" s="27" t="s">
        <v>24</v>
      </c>
      <c r="G40" s="64"/>
    </row>
    <row r="41" spans="1:7" ht="38.25">
      <c r="A41" s="234"/>
      <c r="B41" s="25" t="s">
        <v>848</v>
      </c>
      <c r="C41" s="234"/>
      <c r="D41" s="63" t="s">
        <v>849</v>
      </c>
      <c r="E41" s="63" t="s">
        <v>850</v>
      </c>
      <c r="F41" s="27" t="s">
        <v>42</v>
      </c>
      <c r="G41" s="57" t="s">
        <v>2099</v>
      </c>
    </row>
    <row r="42" spans="1:7" ht="25.5">
      <c r="A42" s="256" t="s">
        <v>851</v>
      </c>
      <c r="B42" s="25" t="s">
        <v>852</v>
      </c>
      <c r="C42" s="255" t="s">
        <v>845</v>
      </c>
      <c r="D42" s="63" t="s">
        <v>853</v>
      </c>
      <c r="E42" s="63" t="s">
        <v>854</v>
      </c>
      <c r="F42" s="27" t="s">
        <v>42</v>
      </c>
      <c r="G42" s="276" t="s">
        <v>2100</v>
      </c>
    </row>
    <row r="43" spans="1:7" ht="25.5">
      <c r="A43" s="235"/>
      <c r="B43" s="25" t="s">
        <v>855</v>
      </c>
      <c r="C43" s="235"/>
      <c r="D43" s="63" t="s">
        <v>856</v>
      </c>
      <c r="E43" s="63" t="s">
        <v>857</v>
      </c>
      <c r="F43" s="27" t="s">
        <v>42</v>
      </c>
      <c r="G43" s="235"/>
    </row>
    <row r="44" spans="1:7" ht="38.25">
      <c r="A44" s="234"/>
      <c r="B44" s="25" t="s">
        <v>858</v>
      </c>
      <c r="C44" s="234"/>
      <c r="D44" s="63" t="s">
        <v>859</v>
      </c>
      <c r="E44" s="63" t="s">
        <v>860</v>
      </c>
      <c r="F44" s="27" t="s">
        <v>42</v>
      </c>
      <c r="G44" s="234"/>
    </row>
    <row r="45" spans="1:7" ht="38.25">
      <c r="A45" s="256" t="s">
        <v>861</v>
      </c>
      <c r="B45" s="25" t="s">
        <v>862</v>
      </c>
      <c r="C45" s="255" t="s">
        <v>845</v>
      </c>
      <c r="D45" s="63" t="s">
        <v>863</v>
      </c>
      <c r="E45" s="63" t="s">
        <v>864</v>
      </c>
      <c r="F45" s="27" t="s">
        <v>42</v>
      </c>
      <c r="G45" s="276" t="s">
        <v>2101</v>
      </c>
    </row>
    <row r="46" spans="1:7" ht="38.25">
      <c r="A46" s="235"/>
      <c r="B46" s="25" t="s">
        <v>575</v>
      </c>
      <c r="C46" s="235"/>
      <c r="D46" s="63" t="s">
        <v>865</v>
      </c>
      <c r="E46" s="63" t="s">
        <v>866</v>
      </c>
      <c r="F46" s="27" t="s">
        <v>42</v>
      </c>
      <c r="G46" s="235"/>
    </row>
    <row r="47" spans="1:7" ht="38.25">
      <c r="A47" s="235"/>
      <c r="B47" s="25" t="s">
        <v>867</v>
      </c>
      <c r="C47" s="235"/>
      <c r="D47" s="63" t="s">
        <v>868</v>
      </c>
      <c r="E47" s="63" t="s">
        <v>869</v>
      </c>
      <c r="F47" s="27" t="s">
        <v>42</v>
      </c>
      <c r="G47" s="235"/>
    </row>
    <row r="48" spans="1:7" ht="38.25">
      <c r="A48" s="235"/>
      <c r="B48" s="25" t="s">
        <v>870</v>
      </c>
      <c r="C48" s="235"/>
      <c r="D48" s="63" t="s">
        <v>871</v>
      </c>
      <c r="E48" s="63" t="s">
        <v>872</v>
      </c>
      <c r="F48" s="27" t="s">
        <v>42</v>
      </c>
      <c r="G48" s="235"/>
    </row>
    <row r="49" spans="1:9" ht="63.75">
      <c r="A49" s="234"/>
      <c r="B49" s="25" t="s">
        <v>593</v>
      </c>
      <c r="C49" s="234"/>
      <c r="D49" s="63" t="s">
        <v>873</v>
      </c>
      <c r="E49" s="63" t="s">
        <v>874</v>
      </c>
      <c r="F49" s="27" t="s">
        <v>42</v>
      </c>
      <c r="G49" s="234"/>
    </row>
    <row r="50" spans="1:9" ht="25.5">
      <c r="A50" s="256" t="s">
        <v>875</v>
      </c>
      <c r="B50" s="25" t="s">
        <v>876</v>
      </c>
      <c r="C50" s="255" t="s">
        <v>845</v>
      </c>
      <c r="D50" s="63" t="s">
        <v>877</v>
      </c>
      <c r="E50" s="63" t="s">
        <v>878</v>
      </c>
      <c r="F50" s="27" t="s">
        <v>42</v>
      </c>
      <c r="G50" s="276" t="s">
        <v>2102</v>
      </c>
    </row>
    <row r="51" spans="1:9" ht="25.5">
      <c r="A51" s="235"/>
      <c r="B51" s="25" t="s">
        <v>879</v>
      </c>
      <c r="C51" s="235"/>
      <c r="D51" s="63" t="s">
        <v>880</v>
      </c>
      <c r="E51" s="63" t="s">
        <v>881</v>
      </c>
      <c r="F51" s="27" t="s">
        <v>42</v>
      </c>
      <c r="G51" s="235"/>
    </row>
    <row r="52" spans="1:9" ht="25.5">
      <c r="A52" s="235"/>
      <c r="B52" s="25" t="s">
        <v>882</v>
      </c>
      <c r="C52" s="234"/>
      <c r="D52" s="63" t="s">
        <v>883</v>
      </c>
      <c r="E52" s="63" t="s">
        <v>884</v>
      </c>
      <c r="F52" s="27" t="s">
        <v>42</v>
      </c>
      <c r="G52" s="234"/>
    </row>
    <row r="53" spans="1:9" ht="51">
      <c r="A53" s="235"/>
      <c r="B53" s="25" t="s">
        <v>885</v>
      </c>
      <c r="C53" s="255" t="s">
        <v>886</v>
      </c>
      <c r="D53" s="63" t="s">
        <v>887</v>
      </c>
      <c r="E53" s="63" t="s">
        <v>888</v>
      </c>
      <c r="F53" s="27" t="s">
        <v>42</v>
      </c>
      <c r="G53" s="276" t="s">
        <v>2103</v>
      </c>
    </row>
    <row r="54" spans="1:9" ht="51">
      <c r="A54" s="235"/>
      <c r="B54" s="25" t="s">
        <v>889</v>
      </c>
      <c r="C54" s="235"/>
      <c r="D54" s="63" t="s">
        <v>890</v>
      </c>
      <c r="E54" s="63" t="s">
        <v>891</v>
      </c>
      <c r="F54" s="27" t="s">
        <v>42</v>
      </c>
      <c r="G54" s="235"/>
    </row>
    <row r="55" spans="1:9" ht="51">
      <c r="A55" s="235"/>
      <c r="B55" s="25" t="s">
        <v>892</v>
      </c>
      <c r="C55" s="235"/>
      <c r="D55" s="63" t="s">
        <v>893</v>
      </c>
      <c r="E55" s="63" t="s">
        <v>894</v>
      </c>
      <c r="F55" s="27" t="s">
        <v>42</v>
      </c>
      <c r="G55" s="235"/>
    </row>
    <row r="56" spans="1:9" ht="51">
      <c r="A56" s="235"/>
      <c r="B56" s="25" t="s">
        <v>895</v>
      </c>
      <c r="C56" s="235"/>
      <c r="D56" s="63" t="s">
        <v>896</v>
      </c>
      <c r="E56" s="63" t="s">
        <v>897</v>
      </c>
      <c r="F56" s="27" t="s">
        <v>42</v>
      </c>
      <c r="G56" s="235"/>
    </row>
    <row r="57" spans="1:9" ht="51">
      <c r="A57" s="235"/>
      <c r="B57" s="25" t="s">
        <v>898</v>
      </c>
      <c r="C57" s="235"/>
      <c r="D57" s="63" t="s">
        <v>899</v>
      </c>
      <c r="E57" s="63" t="s">
        <v>900</v>
      </c>
      <c r="F57" s="27" t="s">
        <v>42</v>
      </c>
      <c r="G57" s="235"/>
    </row>
    <row r="58" spans="1:9" ht="51">
      <c r="A58" s="235"/>
      <c r="B58" s="25" t="s">
        <v>901</v>
      </c>
      <c r="C58" s="235"/>
      <c r="D58" s="63" t="s">
        <v>902</v>
      </c>
      <c r="E58" s="63" t="s">
        <v>903</v>
      </c>
      <c r="F58" s="27" t="s">
        <v>42</v>
      </c>
      <c r="G58" s="235"/>
      <c r="H58" s="42" t="s">
        <v>2104</v>
      </c>
      <c r="I58" s="42" t="s">
        <v>2105</v>
      </c>
    </row>
    <row r="59" spans="1:9" ht="51">
      <c r="A59" s="235"/>
      <c r="B59" s="25" t="s">
        <v>904</v>
      </c>
      <c r="C59" s="235"/>
      <c r="D59" s="63" t="s">
        <v>905</v>
      </c>
      <c r="E59" s="63" t="s">
        <v>906</v>
      </c>
      <c r="F59" s="27" t="s">
        <v>42</v>
      </c>
      <c r="G59" s="235"/>
      <c r="H59" s="42"/>
      <c r="I59" s="42" t="s">
        <v>2106</v>
      </c>
    </row>
    <row r="60" spans="1:9" ht="38.25">
      <c r="A60" s="235"/>
      <c r="B60" s="25" t="s">
        <v>907</v>
      </c>
      <c r="C60" s="235"/>
      <c r="D60" s="63" t="s">
        <v>908</v>
      </c>
      <c r="E60" s="63" t="s">
        <v>909</v>
      </c>
      <c r="F60" s="27" t="s">
        <v>42</v>
      </c>
      <c r="G60" s="235"/>
    </row>
    <row r="61" spans="1:9" ht="38.25">
      <c r="A61" s="235"/>
      <c r="B61" s="25" t="s">
        <v>910</v>
      </c>
      <c r="C61" s="235"/>
      <c r="D61" s="63" t="s">
        <v>911</v>
      </c>
      <c r="E61" s="63" t="s">
        <v>912</v>
      </c>
      <c r="F61" s="27" t="s">
        <v>42</v>
      </c>
      <c r="G61" s="235"/>
    </row>
    <row r="62" spans="1:9" ht="38.25">
      <c r="A62" s="235"/>
      <c r="B62" s="25" t="s">
        <v>913</v>
      </c>
      <c r="C62" s="235"/>
      <c r="D62" s="63" t="s">
        <v>914</v>
      </c>
      <c r="E62" s="63" t="s">
        <v>915</v>
      </c>
      <c r="F62" s="27" t="s">
        <v>24</v>
      </c>
      <c r="G62" s="235"/>
      <c r="H62" s="194" t="s">
        <v>2107</v>
      </c>
      <c r="I62" s="42" t="s">
        <v>2108</v>
      </c>
    </row>
    <row r="63" spans="1:9" ht="51">
      <c r="A63" s="235"/>
      <c r="B63" s="25" t="s">
        <v>916</v>
      </c>
      <c r="C63" s="234"/>
      <c r="D63" s="63" t="s">
        <v>917</v>
      </c>
      <c r="E63" s="63" t="s">
        <v>918</v>
      </c>
      <c r="F63" s="27" t="s">
        <v>42</v>
      </c>
      <c r="G63" s="234"/>
    </row>
    <row r="64" spans="1:9" ht="63.75">
      <c r="A64" s="235"/>
      <c r="B64" s="25" t="s">
        <v>919</v>
      </c>
      <c r="C64" s="255" t="s">
        <v>845</v>
      </c>
      <c r="D64" s="63" t="s">
        <v>920</v>
      </c>
      <c r="E64" s="63" t="s">
        <v>921</v>
      </c>
      <c r="F64" s="27" t="s">
        <v>42</v>
      </c>
      <c r="G64" s="276" t="s">
        <v>2109</v>
      </c>
    </row>
    <row r="65" spans="1:25" ht="51">
      <c r="A65" s="235"/>
      <c r="B65" s="25" t="s">
        <v>922</v>
      </c>
      <c r="C65" s="235"/>
      <c r="D65" s="63" t="s">
        <v>923</v>
      </c>
      <c r="E65" s="63" t="s">
        <v>924</v>
      </c>
      <c r="F65" s="27" t="s">
        <v>42</v>
      </c>
      <c r="G65" s="235"/>
    </row>
    <row r="66" spans="1:25" ht="38.25">
      <c r="A66" s="235"/>
      <c r="B66" s="25" t="s">
        <v>925</v>
      </c>
      <c r="C66" s="235"/>
      <c r="D66" s="63" t="s">
        <v>926</v>
      </c>
      <c r="E66" s="25" t="s">
        <v>821</v>
      </c>
      <c r="F66" s="27" t="s">
        <v>42</v>
      </c>
      <c r="G66" s="235"/>
    </row>
    <row r="67" spans="1:25" ht="63.75">
      <c r="A67" s="234"/>
      <c r="B67" s="25" t="s">
        <v>927</v>
      </c>
      <c r="C67" s="234"/>
      <c r="D67" s="63" t="s">
        <v>928</v>
      </c>
      <c r="E67" s="63" t="s">
        <v>827</v>
      </c>
      <c r="F67" s="27" t="s">
        <v>42</v>
      </c>
      <c r="G67" s="234"/>
    </row>
    <row r="68" spans="1:25" ht="12.75">
      <c r="A68" s="236" t="s">
        <v>972</v>
      </c>
      <c r="B68" s="237"/>
      <c r="C68" s="237"/>
      <c r="D68" s="237"/>
      <c r="E68" s="237"/>
      <c r="F68" s="237"/>
      <c r="G68" s="238"/>
      <c r="H68" s="39"/>
      <c r="I68" s="39"/>
      <c r="J68" s="39"/>
      <c r="K68" s="39"/>
      <c r="L68" s="39"/>
      <c r="M68" s="39"/>
      <c r="N68" s="39"/>
      <c r="O68" s="39"/>
      <c r="P68" s="39"/>
      <c r="Q68" s="39"/>
      <c r="R68" s="39"/>
      <c r="S68" s="39"/>
      <c r="T68" s="39"/>
      <c r="U68" s="39"/>
      <c r="V68" s="39"/>
      <c r="W68" s="39"/>
      <c r="X68" s="39"/>
      <c r="Y68" s="39"/>
    </row>
    <row r="69" spans="1:25" ht="54" customHeight="1">
      <c r="A69" s="233" t="s">
        <v>973</v>
      </c>
      <c r="B69" s="23" t="s">
        <v>974</v>
      </c>
      <c r="C69" s="23" t="s">
        <v>975</v>
      </c>
      <c r="D69" s="23" t="s">
        <v>976</v>
      </c>
      <c r="E69" s="23" t="s">
        <v>977</v>
      </c>
      <c r="F69" s="27" t="s">
        <v>24</v>
      </c>
      <c r="G69" s="40"/>
      <c r="H69" s="39"/>
      <c r="I69" s="39"/>
      <c r="J69" s="39"/>
      <c r="K69" s="39"/>
      <c r="L69" s="39"/>
      <c r="M69" s="39"/>
      <c r="N69" s="39"/>
      <c r="O69" s="39"/>
      <c r="P69" s="39"/>
      <c r="Q69" s="39"/>
      <c r="R69" s="39"/>
      <c r="S69" s="39"/>
      <c r="T69" s="39"/>
      <c r="U69" s="39"/>
      <c r="V69" s="39"/>
      <c r="W69" s="39"/>
      <c r="X69" s="39"/>
      <c r="Y69" s="39"/>
    </row>
    <row r="70" spans="1:25" ht="66.75" customHeight="1">
      <c r="A70" s="235"/>
      <c r="B70" s="23" t="s">
        <v>978</v>
      </c>
      <c r="C70" s="26" t="s">
        <v>979</v>
      </c>
      <c r="D70" s="23" t="s">
        <v>980</v>
      </c>
      <c r="E70" s="23" t="s">
        <v>981</v>
      </c>
      <c r="F70" s="27" t="s">
        <v>42</v>
      </c>
      <c r="G70" s="40"/>
      <c r="H70" s="39"/>
      <c r="I70" s="39"/>
      <c r="J70" s="39"/>
      <c r="K70" s="39"/>
      <c r="L70" s="39"/>
      <c r="M70" s="39"/>
      <c r="N70" s="39"/>
      <c r="O70" s="39"/>
      <c r="P70" s="39"/>
      <c r="Q70" s="39"/>
      <c r="R70" s="39"/>
      <c r="S70" s="39"/>
      <c r="T70" s="39"/>
      <c r="U70" s="39"/>
      <c r="V70" s="39"/>
      <c r="W70" s="39"/>
      <c r="X70" s="39"/>
      <c r="Y70" s="39"/>
    </row>
    <row r="71" spans="1:25" ht="63.75">
      <c r="A71" s="73" t="s">
        <v>982</v>
      </c>
      <c r="B71" s="23" t="s">
        <v>983</v>
      </c>
      <c r="C71" s="239" t="s">
        <v>984</v>
      </c>
      <c r="D71" s="23" t="s">
        <v>985</v>
      </c>
      <c r="E71" s="23" t="s">
        <v>986</v>
      </c>
      <c r="F71" s="27" t="s">
        <v>42</v>
      </c>
      <c r="G71" s="40"/>
      <c r="H71" s="39"/>
      <c r="I71" s="39"/>
      <c r="J71" s="39"/>
      <c r="K71" s="39"/>
      <c r="L71" s="39"/>
      <c r="M71" s="39"/>
      <c r="N71" s="39"/>
      <c r="O71" s="39"/>
      <c r="P71" s="39"/>
      <c r="Q71" s="39"/>
      <c r="R71" s="39"/>
      <c r="S71" s="39"/>
      <c r="T71" s="39"/>
      <c r="U71" s="39"/>
      <c r="V71" s="39"/>
      <c r="W71" s="39"/>
      <c r="X71" s="39"/>
      <c r="Y71" s="39"/>
    </row>
    <row r="72" spans="1:25" ht="63.75">
      <c r="A72" s="233" t="s">
        <v>987</v>
      </c>
      <c r="B72" s="23" t="s">
        <v>988</v>
      </c>
      <c r="C72" s="235"/>
      <c r="D72" s="23" t="s">
        <v>989</v>
      </c>
      <c r="E72" s="23" t="s">
        <v>990</v>
      </c>
      <c r="F72" s="27" t="s">
        <v>42</v>
      </c>
      <c r="G72" s="23"/>
      <c r="H72" s="39"/>
      <c r="I72" s="39"/>
      <c r="J72" s="39"/>
      <c r="K72" s="39"/>
      <c r="L72" s="39"/>
      <c r="M72" s="39"/>
      <c r="N72" s="39"/>
      <c r="O72" s="39"/>
      <c r="P72" s="39"/>
      <c r="Q72" s="39"/>
      <c r="R72" s="39"/>
      <c r="S72" s="39"/>
      <c r="T72" s="39"/>
      <c r="U72" s="39"/>
      <c r="V72" s="39"/>
      <c r="W72" s="39"/>
      <c r="X72" s="39"/>
      <c r="Y72" s="39"/>
    </row>
    <row r="73" spans="1:25" ht="63.75">
      <c r="A73" s="234"/>
      <c r="B73" s="23" t="s">
        <v>991</v>
      </c>
      <c r="C73" s="234"/>
      <c r="D73" s="23" t="s">
        <v>992</v>
      </c>
      <c r="E73" s="23" t="s">
        <v>993</v>
      </c>
      <c r="F73" s="27" t="s">
        <v>42</v>
      </c>
      <c r="G73" s="40"/>
      <c r="H73" s="39"/>
      <c r="I73" s="39"/>
      <c r="J73" s="39"/>
      <c r="K73" s="39"/>
      <c r="L73" s="39"/>
      <c r="M73" s="39"/>
      <c r="N73" s="39"/>
      <c r="O73" s="39"/>
      <c r="P73" s="39"/>
      <c r="Q73" s="39"/>
      <c r="R73" s="39"/>
      <c r="S73" s="39"/>
      <c r="T73" s="39"/>
      <c r="U73" s="39"/>
      <c r="V73" s="39"/>
      <c r="W73" s="39"/>
      <c r="X73" s="39"/>
      <c r="Y73" s="39"/>
    </row>
    <row r="74" spans="1:25" ht="38.25">
      <c r="A74" s="37" t="s">
        <v>994</v>
      </c>
      <c r="B74" s="23" t="s">
        <v>995</v>
      </c>
      <c r="C74" s="26" t="s">
        <v>975</v>
      </c>
      <c r="D74" s="23" t="s">
        <v>996</v>
      </c>
      <c r="E74" s="23" t="s">
        <v>997</v>
      </c>
      <c r="F74" s="27" t="s">
        <v>42</v>
      </c>
      <c r="G74" s="40"/>
      <c r="H74" s="39"/>
      <c r="I74" s="39"/>
      <c r="J74" s="39"/>
      <c r="K74" s="39"/>
      <c r="L74" s="39"/>
      <c r="M74" s="39"/>
      <c r="N74" s="39"/>
      <c r="O74" s="39"/>
      <c r="P74" s="39"/>
      <c r="Q74" s="39"/>
      <c r="R74" s="39"/>
      <c r="S74" s="39"/>
      <c r="T74" s="39"/>
      <c r="U74" s="39"/>
      <c r="V74" s="39"/>
      <c r="W74" s="39"/>
      <c r="X74" s="39"/>
      <c r="Y74" s="39"/>
    </row>
    <row r="75" spans="1:25" ht="63.75">
      <c r="A75" s="37" t="s">
        <v>998</v>
      </c>
      <c r="B75" s="23" t="s">
        <v>999</v>
      </c>
      <c r="C75" s="26" t="s">
        <v>975</v>
      </c>
      <c r="D75" s="23" t="s">
        <v>1000</v>
      </c>
      <c r="E75" s="23" t="s">
        <v>1001</v>
      </c>
      <c r="F75" s="27" t="s">
        <v>42</v>
      </c>
      <c r="G75" s="40"/>
      <c r="H75" s="39"/>
      <c r="I75" s="39"/>
      <c r="J75" s="39"/>
      <c r="K75" s="39"/>
      <c r="L75" s="39"/>
      <c r="M75" s="39"/>
      <c r="N75" s="39"/>
      <c r="O75" s="39"/>
      <c r="P75" s="39"/>
      <c r="Q75" s="39"/>
      <c r="R75" s="39"/>
      <c r="S75" s="39"/>
      <c r="T75" s="39"/>
      <c r="U75" s="39"/>
      <c r="V75" s="39"/>
      <c r="W75" s="39"/>
      <c r="X75" s="39"/>
      <c r="Y75" s="39"/>
    </row>
    <row r="76" spans="1:25" ht="102">
      <c r="A76" s="233" t="s">
        <v>1002</v>
      </c>
      <c r="B76" s="23" t="s">
        <v>1003</v>
      </c>
      <c r="C76" s="26" t="s">
        <v>975</v>
      </c>
      <c r="D76" s="23" t="s">
        <v>1004</v>
      </c>
      <c r="E76" s="23" t="s">
        <v>1005</v>
      </c>
      <c r="F76" s="27" t="s">
        <v>42</v>
      </c>
      <c r="G76" s="23"/>
      <c r="H76" s="39"/>
      <c r="I76" s="39"/>
      <c r="J76" s="39"/>
      <c r="K76" s="39"/>
      <c r="L76" s="39"/>
      <c r="M76" s="39"/>
      <c r="N76" s="39"/>
      <c r="O76" s="39"/>
      <c r="P76" s="39"/>
      <c r="Q76" s="39"/>
      <c r="R76" s="39"/>
      <c r="S76" s="39"/>
      <c r="T76" s="39"/>
      <c r="U76" s="39"/>
      <c r="V76" s="39"/>
      <c r="W76" s="39"/>
      <c r="X76" s="39"/>
      <c r="Y76" s="39"/>
    </row>
    <row r="77" spans="1:25" ht="102">
      <c r="A77" s="234"/>
      <c r="B77" s="23" t="s">
        <v>1006</v>
      </c>
      <c r="C77" s="26" t="s">
        <v>975</v>
      </c>
      <c r="D77" s="23" t="s">
        <v>1007</v>
      </c>
      <c r="E77" s="23" t="s">
        <v>1008</v>
      </c>
      <c r="F77" s="27" t="s">
        <v>42</v>
      </c>
      <c r="G77" s="23"/>
      <c r="H77" s="39"/>
      <c r="I77" s="39"/>
      <c r="J77" s="39"/>
      <c r="K77" s="39"/>
      <c r="L77" s="39"/>
      <c r="M77" s="39"/>
      <c r="N77" s="39"/>
      <c r="O77" s="39"/>
      <c r="P77" s="39"/>
      <c r="Q77" s="39"/>
      <c r="R77" s="39"/>
      <c r="S77" s="39"/>
      <c r="T77" s="39"/>
      <c r="U77" s="39"/>
      <c r="V77" s="39"/>
      <c r="W77" s="39"/>
      <c r="X77" s="39"/>
      <c r="Y77" s="39"/>
    </row>
    <row r="78" spans="1:25" ht="89.25">
      <c r="A78" s="37" t="s">
        <v>1009</v>
      </c>
      <c r="B78" s="23" t="s">
        <v>1010</v>
      </c>
      <c r="C78" s="26" t="s">
        <v>975</v>
      </c>
      <c r="D78" s="23" t="s">
        <v>1011</v>
      </c>
      <c r="E78" s="23" t="s">
        <v>1012</v>
      </c>
      <c r="F78" s="27" t="s">
        <v>42</v>
      </c>
      <c r="G78" s="40"/>
      <c r="H78" s="39"/>
      <c r="I78" s="39"/>
      <c r="J78" s="39"/>
      <c r="K78" s="39"/>
      <c r="L78" s="39"/>
      <c r="M78" s="39"/>
      <c r="N78" s="39"/>
      <c r="O78" s="39"/>
      <c r="P78" s="39"/>
      <c r="Q78" s="39"/>
      <c r="R78" s="39"/>
      <c r="S78" s="39"/>
      <c r="T78" s="39"/>
      <c r="U78" s="39"/>
      <c r="V78" s="39"/>
      <c r="W78" s="39"/>
      <c r="X78" s="39"/>
      <c r="Y78" s="39"/>
    </row>
    <row r="79" spans="1:25" ht="51">
      <c r="A79" s="233" t="s">
        <v>1013</v>
      </c>
      <c r="B79" s="23" t="s">
        <v>1014</v>
      </c>
      <c r="C79" s="26" t="s">
        <v>975</v>
      </c>
      <c r="D79" s="23" t="s">
        <v>1015</v>
      </c>
      <c r="E79" s="23" t="s">
        <v>1016</v>
      </c>
      <c r="F79" s="27" t="s">
        <v>24</v>
      </c>
      <c r="G79" s="40"/>
      <c r="H79" s="39"/>
      <c r="I79" s="39"/>
      <c r="J79" s="39"/>
      <c r="K79" s="39"/>
      <c r="L79" s="39"/>
      <c r="M79" s="39"/>
      <c r="N79" s="39"/>
      <c r="O79" s="39"/>
      <c r="P79" s="39"/>
      <c r="Q79" s="39"/>
      <c r="R79" s="39"/>
      <c r="S79" s="39"/>
      <c r="T79" s="39"/>
      <c r="U79" s="39"/>
      <c r="V79" s="39"/>
      <c r="W79" s="39"/>
      <c r="X79" s="39"/>
      <c r="Y79" s="39"/>
    </row>
    <row r="80" spans="1:25" ht="51">
      <c r="A80" s="235"/>
      <c r="B80" s="23" t="s">
        <v>1017</v>
      </c>
      <c r="C80" s="26" t="s">
        <v>975</v>
      </c>
      <c r="D80" s="23" t="s">
        <v>2110</v>
      </c>
      <c r="E80" s="23" t="s">
        <v>1018</v>
      </c>
      <c r="F80" s="27" t="s">
        <v>42</v>
      </c>
      <c r="G80" s="23"/>
      <c r="H80" s="39"/>
      <c r="I80" s="39"/>
      <c r="J80" s="39"/>
      <c r="K80" s="39"/>
      <c r="L80" s="39"/>
      <c r="M80" s="39"/>
      <c r="N80" s="39"/>
      <c r="O80" s="39"/>
      <c r="P80" s="39"/>
      <c r="Q80" s="39"/>
      <c r="R80" s="39"/>
      <c r="S80" s="39"/>
      <c r="T80" s="39"/>
      <c r="U80" s="39"/>
      <c r="V80" s="39"/>
      <c r="W80" s="39"/>
      <c r="X80" s="39"/>
      <c r="Y80" s="39"/>
    </row>
    <row r="81" spans="1:25" ht="63.75">
      <c r="A81" s="234"/>
      <c r="B81" s="23" t="s">
        <v>1020</v>
      </c>
      <c r="C81" s="26" t="s">
        <v>975</v>
      </c>
      <c r="D81" s="23" t="s">
        <v>1021</v>
      </c>
      <c r="E81" s="23" t="s">
        <v>1022</v>
      </c>
      <c r="F81" s="27" t="s">
        <v>24</v>
      </c>
      <c r="G81" s="23"/>
      <c r="H81" s="39"/>
      <c r="I81" s="39"/>
      <c r="J81" s="39"/>
      <c r="K81" s="39"/>
      <c r="L81" s="39"/>
      <c r="M81" s="39"/>
      <c r="N81" s="39"/>
      <c r="O81" s="39"/>
      <c r="P81" s="39"/>
      <c r="Q81" s="39"/>
      <c r="R81" s="39"/>
      <c r="S81" s="39"/>
      <c r="T81" s="39"/>
      <c r="U81" s="39"/>
      <c r="V81" s="39"/>
      <c r="W81" s="39"/>
      <c r="X81" s="39"/>
      <c r="Y81" s="39"/>
    </row>
    <row r="82" spans="1:25" ht="12.75">
      <c r="A82" s="236" t="s">
        <v>1023</v>
      </c>
      <c r="B82" s="237"/>
      <c r="C82" s="237"/>
      <c r="D82" s="237"/>
      <c r="E82" s="237"/>
      <c r="F82" s="237"/>
      <c r="G82" s="238"/>
      <c r="H82" s="39"/>
      <c r="I82" s="39"/>
      <c r="J82" s="39"/>
      <c r="K82" s="39"/>
      <c r="L82" s="39"/>
      <c r="M82" s="39"/>
      <c r="N82" s="39"/>
      <c r="O82" s="39"/>
      <c r="P82" s="39"/>
      <c r="Q82" s="39"/>
      <c r="R82" s="39"/>
      <c r="S82" s="39"/>
      <c r="T82" s="39"/>
      <c r="U82" s="39"/>
      <c r="V82" s="39"/>
      <c r="W82" s="39"/>
      <c r="X82" s="39"/>
      <c r="Y82" s="39"/>
    </row>
    <row r="83" spans="1:25" ht="76.5">
      <c r="A83" s="195" t="s">
        <v>1024</v>
      </c>
      <c r="B83" s="25" t="s">
        <v>1025</v>
      </c>
      <c r="C83" s="25" t="s">
        <v>1026</v>
      </c>
      <c r="D83" s="25" t="s">
        <v>1027</v>
      </c>
      <c r="E83" s="25" t="s">
        <v>1028</v>
      </c>
      <c r="F83" s="30" t="s">
        <v>24</v>
      </c>
      <c r="G83" s="25" t="s">
        <v>2111</v>
      </c>
    </row>
    <row r="84" spans="1:25" ht="63.75">
      <c r="A84" s="196"/>
      <c r="B84" s="25" t="s">
        <v>1029</v>
      </c>
      <c r="C84" s="25" t="s">
        <v>1026</v>
      </c>
      <c r="D84" s="25" t="s">
        <v>1030</v>
      </c>
      <c r="E84" s="25" t="s">
        <v>1031</v>
      </c>
      <c r="F84" s="30" t="s">
        <v>24</v>
      </c>
      <c r="G84" s="25" t="s">
        <v>2112</v>
      </c>
    </row>
    <row r="85" spans="1:25" ht="102">
      <c r="A85" s="196"/>
      <c r="B85" s="25" t="s">
        <v>1032</v>
      </c>
      <c r="C85" s="36" t="s">
        <v>1026</v>
      </c>
      <c r="D85" s="25" t="s">
        <v>1033</v>
      </c>
      <c r="E85" s="23" t="s">
        <v>1034</v>
      </c>
      <c r="F85" s="30" t="s">
        <v>42</v>
      </c>
      <c r="G85" s="25" t="s">
        <v>2113</v>
      </c>
    </row>
    <row r="86" spans="1:25" ht="76.5">
      <c r="A86" s="233" t="s">
        <v>1035</v>
      </c>
      <c r="B86" s="25" t="s">
        <v>1036</v>
      </c>
      <c r="C86" s="25" t="s">
        <v>1037</v>
      </c>
      <c r="D86" s="25" t="s">
        <v>1038</v>
      </c>
      <c r="E86" s="25" t="s">
        <v>1039</v>
      </c>
      <c r="F86" s="30" t="s">
        <v>42</v>
      </c>
      <c r="G86" s="25" t="s">
        <v>2114</v>
      </c>
    </row>
    <row r="87" spans="1:25" ht="76.5">
      <c r="A87" s="235"/>
      <c r="B87" s="25" t="s">
        <v>1040</v>
      </c>
      <c r="C87" s="25" t="s">
        <v>1037</v>
      </c>
      <c r="D87" s="25" t="s">
        <v>1041</v>
      </c>
      <c r="E87" s="25" t="s">
        <v>1042</v>
      </c>
      <c r="F87" s="30" t="s">
        <v>42</v>
      </c>
      <c r="G87" s="25" t="s">
        <v>2113</v>
      </c>
    </row>
    <row r="88" spans="1:25" ht="76.5">
      <c r="A88" s="235"/>
      <c r="B88" s="25" t="s">
        <v>1043</v>
      </c>
      <c r="C88" s="25" t="s">
        <v>1037</v>
      </c>
      <c r="D88" s="25" t="s">
        <v>1044</v>
      </c>
      <c r="E88" s="25" t="s">
        <v>1045</v>
      </c>
      <c r="F88" s="30" t="s">
        <v>24</v>
      </c>
      <c r="G88" s="25" t="s">
        <v>2115</v>
      </c>
      <c r="H88" s="36" t="s">
        <v>2116</v>
      </c>
      <c r="I88" s="42" t="s">
        <v>2117</v>
      </c>
    </row>
    <row r="89" spans="1:25" ht="76.5">
      <c r="A89" s="235"/>
      <c r="B89" s="25" t="s">
        <v>1046</v>
      </c>
      <c r="C89" s="25" t="s">
        <v>1037</v>
      </c>
      <c r="D89" s="25" t="s">
        <v>1047</v>
      </c>
      <c r="E89" s="25" t="s">
        <v>1048</v>
      </c>
      <c r="F89" s="30" t="s">
        <v>24</v>
      </c>
      <c r="G89" s="25" t="s">
        <v>2118</v>
      </c>
      <c r="H89" s="36" t="s">
        <v>2119</v>
      </c>
      <c r="I89" s="42" t="s">
        <v>2117</v>
      </c>
    </row>
    <row r="90" spans="1:25" ht="76.5">
      <c r="A90" s="234"/>
      <c r="B90" s="25" t="s">
        <v>1049</v>
      </c>
      <c r="C90" s="25" t="s">
        <v>1037</v>
      </c>
      <c r="D90" s="25" t="s">
        <v>1050</v>
      </c>
      <c r="E90" s="25" t="s">
        <v>1051</v>
      </c>
      <c r="F90" s="30" t="s">
        <v>42</v>
      </c>
      <c r="G90" s="25" t="s">
        <v>2113</v>
      </c>
    </row>
    <row r="91" spans="1:25" ht="51">
      <c r="A91" s="37"/>
      <c r="B91" s="197" t="s">
        <v>1052</v>
      </c>
      <c r="C91" s="67" t="s">
        <v>1053</v>
      </c>
      <c r="D91" s="77" t="s">
        <v>1054</v>
      </c>
      <c r="E91" s="78" t="s">
        <v>1055</v>
      </c>
      <c r="F91" s="198" t="s">
        <v>42</v>
      </c>
      <c r="G91" s="25" t="s">
        <v>2113</v>
      </c>
    </row>
    <row r="92" spans="1:25" ht="76.5">
      <c r="A92" s="37" t="s">
        <v>1056</v>
      </c>
      <c r="B92" s="25" t="s">
        <v>1057</v>
      </c>
      <c r="C92" s="25" t="s">
        <v>1058</v>
      </c>
      <c r="D92" s="25" t="s">
        <v>1059</v>
      </c>
      <c r="E92" s="25" t="s">
        <v>1060</v>
      </c>
      <c r="F92" s="30" t="s">
        <v>42</v>
      </c>
      <c r="G92" s="25" t="s">
        <v>2113</v>
      </c>
    </row>
    <row r="93" spans="1:25" ht="76.5">
      <c r="A93" s="37" t="s">
        <v>1061</v>
      </c>
      <c r="B93" s="25" t="s">
        <v>1062</v>
      </c>
      <c r="C93" s="25" t="s">
        <v>1058</v>
      </c>
      <c r="D93" s="25" t="s">
        <v>1063</v>
      </c>
      <c r="E93" s="25" t="s">
        <v>1064</v>
      </c>
      <c r="F93" s="30" t="s">
        <v>42</v>
      </c>
      <c r="G93" s="25" t="s">
        <v>2113</v>
      </c>
    </row>
    <row r="94" spans="1:25" ht="51">
      <c r="A94" s="37" t="s">
        <v>1065</v>
      </c>
      <c r="B94" s="25" t="s">
        <v>1066</v>
      </c>
      <c r="C94" s="25" t="s">
        <v>1037</v>
      </c>
      <c r="D94" s="25" t="s">
        <v>1067</v>
      </c>
      <c r="E94" s="25" t="s">
        <v>1068</v>
      </c>
      <c r="F94" s="30" t="s">
        <v>42</v>
      </c>
      <c r="G94" s="25" t="s">
        <v>2113</v>
      </c>
    </row>
    <row r="95" spans="1:25" ht="12.75">
      <c r="A95" s="236" t="s">
        <v>1069</v>
      </c>
      <c r="B95" s="237"/>
      <c r="C95" s="237"/>
      <c r="D95" s="237"/>
      <c r="E95" s="237"/>
      <c r="F95" s="237"/>
      <c r="G95" s="238"/>
    </row>
    <row r="96" spans="1:25" ht="51">
      <c r="A96" s="37" t="s">
        <v>1070</v>
      </c>
      <c r="B96" s="79" t="s">
        <v>1025</v>
      </c>
      <c r="C96" s="23" t="s">
        <v>1071</v>
      </c>
      <c r="D96" s="25" t="s">
        <v>1072</v>
      </c>
      <c r="E96" s="25" t="s">
        <v>1073</v>
      </c>
      <c r="F96" s="27" t="s">
        <v>42</v>
      </c>
      <c r="G96" s="28"/>
    </row>
    <row r="97" spans="1:7" ht="76.5">
      <c r="A97" s="233" t="s">
        <v>1074</v>
      </c>
      <c r="B97" s="79" t="s">
        <v>1036</v>
      </c>
      <c r="C97" s="23" t="s">
        <v>1071</v>
      </c>
      <c r="D97" s="25" t="s">
        <v>1075</v>
      </c>
      <c r="E97" s="25" t="s">
        <v>1039</v>
      </c>
      <c r="F97" s="27" t="s">
        <v>42</v>
      </c>
      <c r="G97" s="25" t="s">
        <v>2120</v>
      </c>
    </row>
    <row r="98" spans="1:7" ht="63.75">
      <c r="A98" s="235"/>
      <c r="B98" s="79" t="s">
        <v>1076</v>
      </c>
      <c r="C98" s="23" t="s">
        <v>1071</v>
      </c>
      <c r="D98" s="25" t="s">
        <v>1077</v>
      </c>
      <c r="E98" s="25" t="s">
        <v>1078</v>
      </c>
      <c r="F98" s="27" t="s">
        <v>42</v>
      </c>
      <c r="G98" s="25" t="s">
        <v>2121</v>
      </c>
    </row>
    <row r="99" spans="1:7" ht="63.75">
      <c r="A99" s="235"/>
      <c r="B99" s="79" t="s">
        <v>1079</v>
      </c>
      <c r="C99" s="23" t="s">
        <v>1071</v>
      </c>
      <c r="D99" s="25" t="s">
        <v>1080</v>
      </c>
      <c r="E99" s="25" t="s">
        <v>1081</v>
      </c>
      <c r="F99" s="27" t="s">
        <v>42</v>
      </c>
      <c r="G99" s="25" t="s">
        <v>2121</v>
      </c>
    </row>
    <row r="100" spans="1:7" ht="63.75">
      <c r="A100" s="235"/>
      <c r="B100" s="79" t="s">
        <v>1046</v>
      </c>
      <c r="C100" s="23" t="s">
        <v>1071</v>
      </c>
      <c r="D100" s="25" t="s">
        <v>1082</v>
      </c>
      <c r="E100" s="25" t="s">
        <v>1083</v>
      </c>
      <c r="F100" s="27" t="s">
        <v>42</v>
      </c>
      <c r="G100" s="25" t="s">
        <v>2121</v>
      </c>
    </row>
    <row r="101" spans="1:7" ht="76.5">
      <c r="A101" s="235"/>
      <c r="B101" s="79" t="s">
        <v>1049</v>
      </c>
      <c r="C101" s="23" t="s">
        <v>1071</v>
      </c>
      <c r="D101" s="25" t="s">
        <v>1084</v>
      </c>
      <c r="E101" s="25" t="s">
        <v>1051</v>
      </c>
      <c r="F101" s="27" t="s">
        <v>42</v>
      </c>
      <c r="G101" s="25" t="s">
        <v>2121</v>
      </c>
    </row>
    <row r="102" spans="1:7" ht="51">
      <c r="A102" s="234"/>
      <c r="B102" s="79" t="s">
        <v>1052</v>
      </c>
      <c r="C102" s="23" t="s">
        <v>1085</v>
      </c>
      <c r="D102" s="25" t="s">
        <v>1086</v>
      </c>
      <c r="E102" s="25" t="s">
        <v>1055</v>
      </c>
      <c r="F102" s="27" t="s">
        <v>42</v>
      </c>
      <c r="G102" s="25" t="s">
        <v>2121</v>
      </c>
    </row>
    <row r="103" spans="1:7" ht="25.5">
      <c r="A103" s="29" t="s">
        <v>1087</v>
      </c>
      <c r="B103" s="41" t="s">
        <v>1088</v>
      </c>
      <c r="C103" s="23" t="s">
        <v>1071</v>
      </c>
      <c r="D103" s="57" t="s">
        <v>1089</v>
      </c>
      <c r="E103" s="23" t="s">
        <v>1090</v>
      </c>
      <c r="F103" s="27" t="s">
        <v>42</v>
      </c>
      <c r="G103" s="25" t="s">
        <v>2121</v>
      </c>
    </row>
    <row r="104" spans="1:7" ht="63.75">
      <c r="A104" s="37" t="s">
        <v>1091</v>
      </c>
      <c r="B104" s="41" t="s">
        <v>1092</v>
      </c>
      <c r="C104" s="23" t="s">
        <v>1071</v>
      </c>
      <c r="D104" s="57" t="s">
        <v>2122</v>
      </c>
      <c r="E104" s="23" t="s">
        <v>1094</v>
      </c>
      <c r="F104" s="27" t="s">
        <v>42</v>
      </c>
      <c r="G104" s="25" t="s">
        <v>2121</v>
      </c>
    </row>
    <row r="105" spans="1:7" ht="12.75">
      <c r="A105" s="236" t="s">
        <v>314</v>
      </c>
      <c r="B105" s="237"/>
      <c r="C105" s="237"/>
      <c r="D105" s="237"/>
      <c r="E105" s="237"/>
      <c r="F105" s="237"/>
      <c r="G105" s="238"/>
    </row>
    <row r="106" spans="1:7" ht="165.75">
      <c r="A106" s="40"/>
      <c r="B106" s="43" t="s">
        <v>315</v>
      </c>
      <c r="C106" s="43" t="s">
        <v>316</v>
      </c>
      <c r="D106" s="43" t="s">
        <v>317</v>
      </c>
      <c r="E106" s="43" t="s">
        <v>318</v>
      </c>
      <c r="F106" s="30" t="s">
        <v>42</v>
      </c>
      <c r="G106" s="23" t="s">
        <v>2123</v>
      </c>
    </row>
    <row r="107" spans="1:7" ht="63.75">
      <c r="A107" s="40"/>
      <c r="B107" s="43" t="s">
        <v>319</v>
      </c>
      <c r="C107" s="43" t="s">
        <v>316</v>
      </c>
      <c r="D107" s="43" t="s">
        <v>320</v>
      </c>
      <c r="E107" s="43" t="s">
        <v>321</v>
      </c>
      <c r="F107" s="30" t="s">
        <v>42</v>
      </c>
      <c r="G107" s="23" t="s">
        <v>2124</v>
      </c>
    </row>
    <row r="108" spans="1:7" ht="63.75">
      <c r="A108" s="40"/>
      <c r="B108" s="43" t="s">
        <v>322</v>
      </c>
      <c r="C108" s="43" t="s">
        <v>316</v>
      </c>
      <c r="D108" s="43" t="s">
        <v>323</v>
      </c>
      <c r="E108" s="43" t="s">
        <v>324</v>
      </c>
      <c r="F108" s="30" t="s">
        <v>24</v>
      </c>
      <c r="G108" s="40"/>
    </row>
    <row r="109" spans="1:7" ht="102">
      <c r="A109" s="40"/>
      <c r="B109" s="43" t="s">
        <v>325</v>
      </c>
      <c r="C109" s="43" t="s">
        <v>316</v>
      </c>
      <c r="D109" s="43" t="s">
        <v>326</v>
      </c>
      <c r="E109" s="43" t="s">
        <v>327</v>
      </c>
      <c r="F109" s="30" t="s">
        <v>42</v>
      </c>
      <c r="G109" s="23" t="s">
        <v>2125</v>
      </c>
    </row>
    <row r="110" spans="1:7" ht="63.75">
      <c r="A110" s="40"/>
      <c r="B110" s="43" t="s">
        <v>328</v>
      </c>
      <c r="C110" s="43" t="s">
        <v>316</v>
      </c>
      <c r="D110" s="43" t="s">
        <v>329</v>
      </c>
      <c r="E110" s="43" t="s">
        <v>330</v>
      </c>
      <c r="F110" s="30" t="s">
        <v>42</v>
      </c>
      <c r="G110" s="23" t="s">
        <v>2126</v>
      </c>
    </row>
    <row r="111" spans="1:7" ht="63.75">
      <c r="A111" s="40"/>
      <c r="B111" s="43" t="s">
        <v>331</v>
      </c>
      <c r="C111" s="43" t="s">
        <v>316</v>
      </c>
      <c r="D111" s="43" t="s">
        <v>332</v>
      </c>
      <c r="E111" s="43" t="s">
        <v>333</v>
      </c>
      <c r="F111" s="30" t="s">
        <v>42</v>
      </c>
      <c r="G111" s="23" t="s">
        <v>2127</v>
      </c>
    </row>
    <row r="112" spans="1:7" ht="127.5">
      <c r="A112" s="40"/>
      <c r="B112" s="43" t="s">
        <v>334</v>
      </c>
      <c r="C112" s="43" t="s">
        <v>316</v>
      </c>
      <c r="D112" s="43" t="s">
        <v>335</v>
      </c>
      <c r="E112" s="43" t="s">
        <v>336</v>
      </c>
      <c r="F112" s="30" t="s">
        <v>42</v>
      </c>
      <c r="G112" s="239" t="s">
        <v>2125</v>
      </c>
    </row>
    <row r="113" spans="1:7" ht="165.75">
      <c r="A113" s="40"/>
      <c r="B113" s="46" t="s">
        <v>337</v>
      </c>
      <c r="C113" s="43" t="s">
        <v>316</v>
      </c>
      <c r="D113" s="43" t="s">
        <v>338</v>
      </c>
      <c r="E113" s="43" t="s">
        <v>339</v>
      </c>
      <c r="F113" s="30" t="s">
        <v>42</v>
      </c>
      <c r="G113" s="234"/>
    </row>
    <row r="114" spans="1:7" ht="204">
      <c r="A114" s="40"/>
      <c r="B114" s="43" t="s">
        <v>340</v>
      </c>
      <c r="C114" s="43" t="s">
        <v>341</v>
      </c>
      <c r="D114" s="43" t="s">
        <v>342</v>
      </c>
      <c r="E114" s="43" t="s">
        <v>343</v>
      </c>
      <c r="F114" s="30" t="s">
        <v>42</v>
      </c>
      <c r="G114" s="239" t="s">
        <v>2128</v>
      </c>
    </row>
    <row r="115" spans="1:7" ht="114.75">
      <c r="A115" s="40"/>
      <c r="B115" s="43" t="s">
        <v>344</v>
      </c>
      <c r="C115" s="43" t="s">
        <v>341</v>
      </c>
      <c r="D115" s="43" t="s">
        <v>345</v>
      </c>
      <c r="E115" s="43" t="s">
        <v>346</v>
      </c>
      <c r="F115" s="30" t="s">
        <v>42</v>
      </c>
      <c r="G115" s="235"/>
    </row>
    <row r="116" spans="1:7" ht="140.25">
      <c r="A116" s="40"/>
      <c r="B116" s="43" t="s">
        <v>347</v>
      </c>
      <c r="C116" s="43" t="s">
        <v>348</v>
      </c>
      <c r="D116" s="43" t="s">
        <v>349</v>
      </c>
      <c r="E116" s="43" t="s">
        <v>350</v>
      </c>
      <c r="F116" s="30" t="s">
        <v>42</v>
      </c>
      <c r="G116" s="235"/>
    </row>
    <row r="117" spans="1:7" ht="89.25">
      <c r="A117" s="40"/>
      <c r="B117" s="43" t="s">
        <v>351</v>
      </c>
      <c r="C117" s="43" t="s">
        <v>352</v>
      </c>
      <c r="D117" s="43" t="s">
        <v>353</v>
      </c>
      <c r="E117" s="43" t="s">
        <v>354</v>
      </c>
      <c r="F117" s="30" t="s">
        <v>42</v>
      </c>
      <c r="G117" s="235"/>
    </row>
    <row r="118" spans="1:7" ht="114.75">
      <c r="A118" s="40"/>
      <c r="B118" s="43" t="s">
        <v>355</v>
      </c>
      <c r="C118" s="43" t="s">
        <v>356</v>
      </c>
      <c r="D118" s="43" t="s">
        <v>357</v>
      </c>
      <c r="E118" s="43" t="s">
        <v>358</v>
      </c>
      <c r="F118" s="30" t="s">
        <v>42</v>
      </c>
      <c r="G118" s="234"/>
    </row>
    <row r="119" spans="1:7" ht="63.75">
      <c r="A119" s="40"/>
      <c r="B119" s="43" t="s">
        <v>359</v>
      </c>
      <c r="C119" s="43" t="s">
        <v>316</v>
      </c>
      <c r="D119" s="43" t="s">
        <v>332</v>
      </c>
      <c r="E119" s="43" t="s">
        <v>333</v>
      </c>
      <c r="F119" s="30" t="s">
        <v>42</v>
      </c>
      <c r="G119" s="23" t="s">
        <v>2129</v>
      </c>
    </row>
    <row r="120" spans="1:7" ht="114.75">
      <c r="A120" s="40"/>
      <c r="B120" s="43" t="s">
        <v>360</v>
      </c>
      <c r="C120" s="43" t="s">
        <v>361</v>
      </c>
      <c r="D120" s="43" t="s">
        <v>362</v>
      </c>
      <c r="E120" s="43" t="s">
        <v>363</v>
      </c>
      <c r="F120" s="30" t="s">
        <v>42</v>
      </c>
      <c r="G120" s="239" t="s">
        <v>2128</v>
      </c>
    </row>
    <row r="121" spans="1:7" ht="127.5">
      <c r="A121" s="40"/>
      <c r="B121" s="46" t="s">
        <v>364</v>
      </c>
      <c r="C121" s="43" t="s">
        <v>365</v>
      </c>
      <c r="D121" s="43" t="s">
        <v>366</v>
      </c>
      <c r="E121" s="43" t="s">
        <v>367</v>
      </c>
      <c r="F121" s="30" t="s">
        <v>42</v>
      </c>
      <c r="G121" s="234"/>
    </row>
    <row r="122" spans="1:7" ht="76.5">
      <c r="A122" s="40"/>
      <c r="B122" s="43" t="s">
        <v>368</v>
      </c>
      <c r="C122" s="43" t="s">
        <v>316</v>
      </c>
      <c r="D122" s="43" t="s">
        <v>369</v>
      </c>
      <c r="E122" s="43" t="s">
        <v>370</v>
      </c>
      <c r="F122" s="30" t="s">
        <v>42</v>
      </c>
      <c r="G122" s="239" t="s">
        <v>2130</v>
      </c>
    </row>
    <row r="123" spans="1:7" ht="140.25">
      <c r="A123" s="40"/>
      <c r="B123" s="43" t="s">
        <v>371</v>
      </c>
      <c r="C123" s="43" t="s">
        <v>316</v>
      </c>
      <c r="D123" s="43" t="s">
        <v>372</v>
      </c>
      <c r="E123" s="43" t="s">
        <v>373</v>
      </c>
      <c r="F123" s="30" t="s">
        <v>42</v>
      </c>
      <c r="G123" s="235"/>
    </row>
    <row r="124" spans="1:7" ht="102">
      <c r="A124" s="40"/>
      <c r="B124" s="43" t="s">
        <v>374</v>
      </c>
      <c r="C124" s="43" t="s">
        <v>375</v>
      </c>
      <c r="D124" s="43" t="s">
        <v>376</v>
      </c>
      <c r="E124" s="43" t="s">
        <v>377</v>
      </c>
      <c r="F124" s="30" t="s">
        <v>42</v>
      </c>
      <c r="G124" s="235"/>
    </row>
    <row r="125" spans="1:7" ht="102">
      <c r="A125" s="40"/>
      <c r="B125" s="43" t="s">
        <v>378</v>
      </c>
      <c r="C125" s="43" t="s">
        <v>375</v>
      </c>
      <c r="D125" s="43" t="s">
        <v>379</v>
      </c>
      <c r="E125" s="43" t="s">
        <v>380</v>
      </c>
      <c r="F125" s="30" t="s">
        <v>42</v>
      </c>
      <c r="G125" s="235"/>
    </row>
    <row r="126" spans="1:7" ht="127.5">
      <c r="A126" s="40"/>
      <c r="B126" s="43" t="s">
        <v>381</v>
      </c>
      <c r="C126" s="43" t="s">
        <v>382</v>
      </c>
      <c r="D126" s="43" t="s">
        <v>383</v>
      </c>
      <c r="E126" s="43" t="s">
        <v>384</v>
      </c>
      <c r="F126" s="30" t="s">
        <v>42</v>
      </c>
      <c r="G126" s="235"/>
    </row>
    <row r="127" spans="1:7" ht="102">
      <c r="A127" s="40"/>
      <c r="B127" s="46" t="s">
        <v>385</v>
      </c>
      <c r="C127" s="43" t="s">
        <v>375</v>
      </c>
      <c r="D127" s="43" t="s">
        <v>386</v>
      </c>
      <c r="E127" s="43" t="s">
        <v>387</v>
      </c>
      <c r="F127" s="30" t="s">
        <v>42</v>
      </c>
      <c r="G127" s="235"/>
    </row>
    <row r="128" spans="1:7" ht="102">
      <c r="A128" s="40"/>
      <c r="B128" s="43" t="s">
        <v>388</v>
      </c>
      <c r="C128" s="43" t="s">
        <v>375</v>
      </c>
      <c r="D128" s="43" t="s">
        <v>389</v>
      </c>
      <c r="E128" s="43" t="s">
        <v>390</v>
      </c>
      <c r="F128" s="30" t="s">
        <v>42</v>
      </c>
      <c r="G128" s="235"/>
    </row>
    <row r="129" spans="1:7" ht="102">
      <c r="A129" s="40"/>
      <c r="B129" s="46" t="s">
        <v>391</v>
      </c>
      <c r="C129" s="43" t="s">
        <v>375</v>
      </c>
      <c r="D129" s="43" t="s">
        <v>392</v>
      </c>
      <c r="E129" s="43" t="s">
        <v>393</v>
      </c>
      <c r="F129" s="30" t="s">
        <v>42</v>
      </c>
      <c r="G129" s="235"/>
    </row>
    <row r="130" spans="1:7" ht="102">
      <c r="A130" s="40"/>
      <c r="B130" s="43" t="s">
        <v>394</v>
      </c>
      <c r="C130" s="43" t="s">
        <v>375</v>
      </c>
      <c r="D130" s="43" t="s">
        <v>395</v>
      </c>
      <c r="E130" s="43" t="s">
        <v>396</v>
      </c>
      <c r="F130" s="30" t="s">
        <v>42</v>
      </c>
      <c r="G130" s="235"/>
    </row>
    <row r="131" spans="1:7" ht="165.75">
      <c r="A131" s="40"/>
      <c r="B131" s="43" t="s">
        <v>397</v>
      </c>
      <c r="C131" s="43" t="s">
        <v>375</v>
      </c>
      <c r="D131" s="43" t="s">
        <v>398</v>
      </c>
      <c r="E131" s="43" t="s">
        <v>339</v>
      </c>
      <c r="F131" s="30" t="s">
        <v>42</v>
      </c>
      <c r="G131" s="235"/>
    </row>
    <row r="132" spans="1:7" ht="102">
      <c r="A132" s="40"/>
      <c r="B132" s="43" t="s">
        <v>399</v>
      </c>
      <c r="C132" s="43" t="s">
        <v>375</v>
      </c>
      <c r="D132" s="43" t="s">
        <v>400</v>
      </c>
      <c r="E132" s="43" t="s">
        <v>358</v>
      </c>
      <c r="F132" s="30" t="s">
        <v>42</v>
      </c>
      <c r="G132" s="235"/>
    </row>
    <row r="133" spans="1:7" ht="102">
      <c r="A133" s="40"/>
      <c r="B133" s="43" t="s">
        <v>401</v>
      </c>
      <c r="C133" s="43" t="s">
        <v>402</v>
      </c>
      <c r="D133" s="43" t="s">
        <v>403</v>
      </c>
      <c r="E133" s="43" t="s">
        <v>404</v>
      </c>
      <c r="F133" s="30" t="s">
        <v>42</v>
      </c>
      <c r="G133" s="235"/>
    </row>
    <row r="134" spans="1:7" ht="102">
      <c r="A134" s="40"/>
      <c r="B134" s="43" t="s">
        <v>405</v>
      </c>
      <c r="C134" s="43" t="s">
        <v>375</v>
      </c>
      <c r="D134" s="43" t="s">
        <v>406</v>
      </c>
      <c r="E134" s="43" t="s">
        <v>407</v>
      </c>
      <c r="F134" s="30" t="s">
        <v>42</v>
      </c>
      <c r="G134" s="235"/>
    </row>
    <row r="135" spans="1:7" ht="102">
      <c r="A135" s="40"/>
      <c r="B135" s="43" t="s">
        <v>408</v>
      </c>
      <c r="C135" s="43" t="s">
        <v>375</v>
      </c>
      <c r="D135" s="43" t="s">
        <v>409</v>
      </c>
      <c r="E135" s="43" t="s">
        <v>410</v>
      </c>
      <c r="F135" s="30" t="s">
        <v>42</v>
      </c>
      <c r="G135" s="235"/>
    </row>
    <row r="136" spans="1:7" ht="102">
      <c r="A136" s="40"/>
      <c r="B136" s="43" t="s">
        <v>411</v>
      </c>
      <c r="C136" s="43" t="s">
        <v>375</v>
      </c>
      <c r="D136" s="43" t="s">
        <v>412</v>
      </c>
      <c r="E136" s="43" t="s">
        <v>413</v>
      </c>
      <c r="F136" s="30" t="s">
        <v>42</v>
      </c>
      <c r="G136" s="235"/>
    </row>
    <row r="137" spans="1:7" ht="127.5">
      <c r="A137" s="40"/>
      <c r="B137" s="43" t="s">
        <v>414</v>
      </c>
      <c r="C137" s="43" t="s">
        <v>375</v>
      </c>
      <c r="D137" s="43" t="s">
        <v>415</v>
      </c>
      <c r="E137" s="43" t="s">
        <v>336</v>
      </c>
      <c r="F137" s="30" t="s">
        <v>42</v>
      </c>
      <c r="G137" s="235"/>
    </row>
    <row r="138" spans="1:7" ht="102">
      <c r="A138" s="40"/>
      <c r="B138" s="43" t="s">
        <v>416</v>
      </c>
      <c r="C138" s="43" t="s">
        <v>375</v>
      </c>
      <c r="D138" s="43" t="s">
        <v>417</v>
      </c>
      <c r="E138" s="43" t="s">
        <v>418</v>
      </c>
      <c r="F138" s="30" t="s">
        <v>42</v>
      </c>
      <c r="G138" s="235"/>
    </row>
    <row r="139" spans="1:7" ht="165.75">
      <c r="A139" s="40"/>
      <c r="B139" s="43" t="s">
        <v>419</v>
      </c>
      <c r="C139" s="43" t="s">
        <v>375</v>
      </c>
      <c r="D139" s="43" t="s">
        <v>420</v>
      </c>
      <c r="E139" s="43" t="s">
        <v>339</v>
      </c>
      <c r="F139" s="30" t="s">
        <v>42</v>
      </c>
      <c r="G139" s="235"/>
    </row>
    <row r="140" spans="1:7" ht="102">
      <c r="A140" s="40"/>
      <c r="B140" s="43" t="s">
        <v>421</v>
      </c>
      <c r="C140" s="43" t="s">
        <v>375</v>
      </c>
      <c r="D140" s="43" t="s">
        <v>422</v>
      </c>
      <c r="E140" s="43" t="s">
        <v>358</v>
      </c>
      <c r="F140" s="30" t="s">
        <v>42</v>
      </c>
      <c r="G140" s="234"/>
    </row>
    <row r="141" spans="1:7" ht="63.75">
      <c r="A141" s="40"/>
      <c r="B141" s="43" t="s">
        <v>423</v>
      </c>
      <c r="C141" s="43" t="s">
        <v>424</v>
      </c>
      <c r="D141" s="43" t="s">
        <v>425</v>
      </c>
      <c r="E141" s="43" t="s">
        <v>426</v>
      </c>
      <c r="F141" s="30" t="s">
        <v>42</v>
      </c>
      <c r="G141" s="239" t="s">
        <v>2131</v>
      </c>
    </row>
    <row r="142" spans="1:7" ht="63.75">
      <c r="A142" s="40"/>
      <c r="B142" s="43" t="s">
        <v>427</v>
      </c>
      <c r="C142" s="43" t="s">
        <v>424</v>
      </c>
      <c r="D142" s="43" t="s">
        <v>428</v>
      </c>
      <c r="E142" s="43" t="s">
        <v>429</v>
      </c>
      <c r="F142" s="30" t="s">
        <v>42</v>
      </c>
      <c r="G142" s="235"/>
    </row>
    <row r="143" spans="1:7" ht="63.75">
      <c r="A143" s="40"/>
      <c r="B143" s="43" t="s">
        <v>430</v>
      </c>
      <c r="C143" s="43" t="s">
        <v>424</v>
      </c>
      <c r="D143" s="43" t="s">
        <v>431</v>
      </c>
      <c r="E143" s="43" t="s">
        <v>432</v>
      </c>
      <c r="F143" s="30" t="s">
        <v>42</v>
      </c>
      <c r="G143" s="235"/>
    </row>
    <row r="144" spans="1:7" ht="76.5">
      <c r="A144" s="40"/>
      <c r="B144" s="43" t="s">
        <v>433</v>
      </c>
      <c r="C144" s="43" t="s">
        <v>424</v>
      </c>
      <c r="D144" s="43" t="s">
        <v>434</v>
      </c>
      <c r="E144" s="43" t="s">
        <v>435</v>
      </c>
      <c r="F144" s="30" t="s">
        <v>42</v>
      </c>
      <c r="G144" s="235"/>
    </row>
    <row r="145" spans="1:7" ht="63.75">
      <c r="A145" s="40"/>
      <c r="B145" s="43" t="s">
        <v>388</v>
      </c>
      <c r="C145" s="43" t="s">
        <v>424</v>
      </c>
      <c r="D145" s="43" t="s">
        <v>436</v>
      </c>
      <c r="E145" s="43" t="s">
        <v>437</v>
      </c>
      <c r="F145" s="30" t="s">
        <v>42</v>
      </c>
      <c r="G145" s="235"/>
    </row>
    <row r="146" spans="1:7" ht="63.75">
      <c r="A146" s="40"/>
      <c r="B146" s="43" t="s">
        <v>438</v>
      </c>
      <c r="C146" s="43" t="s">
        <v>424</v>
      </c>
      <c r="D146" s="43" t="s">
        <v>439</v>
      </c>
      <c r="E146" s="43" t="s">
        <v>440</v>
      </c>
      <c r="F146" s="30" t="s">
        <v>42</v>
      </c>
      <c r="G146" s="235"/>
    </row>
    <row r="147" spans="1:7" ht="63.75">
      <c r="A147" s="40"/>
      <c r="B147" s="43" t="s">
        <v>441</v>
      </c>
      <c r="C147" s="43" t="s">
        <v>424</v>
      </c>
      <c r="D147" s="43" t="s">
        <v>442</v>
      </c>
      <c r="E147" s="43" t="s">
        <v>443</v>
      </c>
      <c r="F147" s="30" t="s">
        <v>42</v>
      </c>
      <c r="G147" s="235"/>
    </row>
    <row r="148" spans="1:7" ht="102">
      <c r="A148" s="40"/>
      <c r="B148" s="43" t="s">
        <v>444</v>
      </c>
      <c r="C148" s="43" t="s">
        <v>424</v>
      </c>
      <c r="D148" s="43" t="s">
        <v>445</v>
      </c>
      <c r="E148" s="43" t="s">
        <v>446</v>
      </c>
      <c r="F148" s="30" t="s">
        <v>42</v>
      </c>
      <c r="G148" s="234"/>
    </row>
    <row r="149" spans="1:7" ht="165.75">
      <c r="A149" s="40"/>
      <c r="B149" s="43" t="s">
        <v>447</v>
      </c>
      <c r="C149" s="43" t="s">
        <v>424</v>
      </c>
      <c r="D149" s="43" t="s">
        <v>448</v>
      </c>
      <c r="E149" s="43" t="s">
        <v>339</v>
      </c>
      <c r="F149" s="30" t="s">
        <v>42</v>
      </c>
      <c r="G149" s="239" t="s">
        <v>2132</v>
      </c>
    </row>
    <row r="150" spans="1:7" ht="89.25">
      <c r="A150" s="40"/>
      <c r="B150" s="43" t="s">
        <v>449</v>
      </c>
      <c r="C150" s="43" t="s">
        <v>450</v>
      </c>
      <c r="D150" s="43" t="s">
        <v>451</v>
      </c>
      <c r="E150" s="43" t="s">
        <v>404</v>
      </c>
      <c r="F150" s="30" t="s">
        <v>42</v>
      </c>
      <c r="G150" s="234"/>
    </row>
    <row r="151" spans="1:7" ht="76.5">
      <c r="A151" s="40"/>
      <c r="B151" s="43" t="s">
        <v>405</v>
      </c>
      <c r="C151" s="43" t="s">
        <v>452</v>
      </c>
      <c r="D151" s="43" t="s">
        <v>453</v>
      </c>
      <c r="E151" s="43" t="s">
        <v>407</v>
      </c>
      <c r="F151" s="30" t="s">
        <v>42</v>
      </c>
      <c r="G151" s="23" t="s">
        <v>2133</v>
      </c>
    </row>
    <row r="152" spans="1:7" ht="89.25">
      <c r="A152" s="40"/>
      <c r="B152" s="43" t="s">
        <v>408</v>
      </c>
      <c r="C152" s="43" t="s">
        <v>450</v>
      </c>
      <c r="D152" s="43" t="s">
        <v>409</v>
      </c>
      <c r="E152" s="43" t="s">
        <v>410</v>
      </c>
      <c r="F152" s="30" t="s">
        <v>42</v>
      </c>
      <c r="G152" s="239" t="s">
        <v>2134</v>
      </c>
    </row>
    <row r="153" spans="1:7" ht="89.25">
      <c r="A153" s="40"/>
      <c r="B153" s="43" t="s">
        <v>411</v>
      </c>
      <c r="C153" s="43" t="s">
        <v>450</v>
      </c>
      <c r="D153" s="43" t="s">
        <v>412</v>
      </c>
      <c r="E153" s="43" t="s">
        <v>413</v>
      </c>
      <c r="F153" s="30" t="s">
        <v>42</v>
      </c>
      <c r="G153" s="235"/>
    </row>
    <row r="154" spans="1:7" ht="127.5">
      <c r="A154" s="40"/>
      <c r="B154" s="43" t="s">
        <v>414</v>
      </c>
      <c r="C154" s="43" t="s">
        <v>450</v>
      </c>
      <c r="D154" s="43" t="s">
        <v>415</v>
      </c>
      <c r="E154" s="43" t="s">
        <v>336</v>
      </c>
      <c r="F154" s="30" t="s">
        <v>42</v>
      </c>
      <c r="G154" s="235"/>
    </row>
    <row r="155" spans="1:7" ht="89.25">
      <c r="A155" s="40"/>
      <c r="B155" s="43" t="s">
        <v>416</v>
      </c>
      <c r="C155" s="43" t="s">
        <v>450</v>
      </c>
      <c r="D155" s="43" t="s">
        <v>417</v>
      </c>
      <c r="E155" s="43" t="s">
        <v>418</v>
      </c>
      <c r="F155" s="30" t="s">
        <v>42</v>
      </c>
      <c r="G155" s="235"/>
    </row>
    <row r="156" spans="1:7" ht="165.75">
      <c r="A156" s="40"/>
      <c r="B156" s="43" t="s">
        <v>419</v>
      </c>
      <c r="C156" s="43" t="s">
        <v>450</v>
      </c>
      <c r="D156" s="43" t="s">
        <v>420</v>
      </c>
      <c r="E156" s="43" t="s">
        <v>339</v>
      </c>
      <c r="F156" s="30" t="s">
        <v>42</v>
      </c>
      <c r="G156" s="235"/>
    </row>
    <row r="157" spans="1:7" ht="89.25">
      <c r="A157" s="40"/>
      <c r="B157" s="43" t="s">
        <v>421</v>
      </c>
      <c r="C157" s="43" t="s">
        <v>450</v>
      </c>
      <c r="D157" s="43" t="s">
        <v>454</v>
      </c>
      <c r="E157" s="43" t="s">
        <v>455</v>
      </c>
      <c r="F157" s="30" t="s">
        <v>42</v>
      </c>
      <c r="G157" s="234"/>
    </row>
    <row r="158" spans="1:7" ht="12.75">
      <c r="A158" s="236" t="s">
        <v>456</v>
      </c>
      <c r="B158" s="237"/>
      <c r="C158" s="237"/>
      <c r="D158" s="237"/>
      <c r="E158" s="237"/>
      <c r="F158" s="237"/>
      <c r="G158" s="238"/>
    </row>
    <row r="159" spans="1:7" ht="12.75">
      <c r="A159" s="47"/>
      <c r="B159" s="48" t="s">
        <v>457</v>
      </c>
      <c r="C159" s="48" t="s">
        <v>458</v>
      </c>
      <c r="D159" s="48" t="s">
        <v>459</v>
      </c>
      <c r="E159" s="48" t="s">
        <v>460</v>
      </c>
      <c r="F159" s="30" t="s">
        <v>42</v>
      </c>
      <c r="G159" s="41"/>
    </row>
    <row r="160" spans="1:7" ht="12.75">
      <c r="A160" s="47"/>
      <c r="B160" s="48" t="s">
        <v>461</v>
      </c>
      <c r="C160" s="48" t="s">
        <v>458</v>
      </c>
      <c r="D160" s="48" t="s">
        <v>462</v>
      </c>
      <c r="E160" s="48" t="s">
        <v>463</v>
      </c>
      <c r="F160" s="30" t="s">
        <v>42</v>
      </c>
      <c r="G160" s="47"/>
    </row>
    <row r="161" spans="1:7" ht="12.75">
      <c r="A161" s="47"/>
      <c r="B161" s="48" t="s">
        <v>2050</v>
      </c>
      <c r="C161" s="48" t="s">
        <v>458</v>
      </c>
      <c r="D161" s="48" t="s">
        <v>2051</v>
      </c>
      <c r="E161" s="48" t="s">
        <v>2052</v>
      </c>
      <c r="F161" s="30" t="s">
        <v>42</v>
      </c>
      <c r="G161" s="47"/>
    </row>
    <row r="162" spans="1:7" ht="12.75">
      <c r="A162" s="47"/>
      <c r="B162" s="48" t="s">
        <v>464</v>
      </c>
      <c r="C162" s="48" t="s">
        <v>458</v>
      </c>
      <c r="D162" s="48" t="s">
        <v>465</v>
      </c>
      <c r="E162" s="48" t="s">
        <v>466</v>
      </c>
      <c r="F162" s="30" t="s">
        <v>42</v>
      </c>
      <c r="G162" s="47"/>
    </row>
    <row r="163" spans="1:7" ht="12.75">
      <c r="A163" s="47"/>
      <c r="B163" s="48" t="s">
        <v>467</v>
      </c>
      <c r="C163" s="48" t="s">
        <v>458</v>
      </c>
      <c r="D163" s="48" t="s">
        <v>468</v>
      </c>
      <c r="E163" s="48" t="s">
        <v>469</v>
      </c>
      <c r="F163" s="30" t="s">
        <v>42</v>
      </c>
      <c r="G163" s="47"/>
    </row>
    <row r="164" spans="1:7" ht="63.75">
      <c r="A164" s="47"/>
      <c r="B164" s="48" t="s">
        <v>470</v>
      </c>
      <c r="C164" s="48" t="s">
        <v>458</v>
      </c>
      <c r="D164" s="43" t="s">
        <v>332</v>
      </c>
      <c r="E164" s="43" t="s">
        <v>185</v>
      </c>
      <c r="F164" s="30" t="s">
        <v>42</v>
      </c>
      <c r="G164" s="47"/>
    </row>
    <row r="165" spans="1:7" ht="12.75">
      <c r="A165" s="47"/>
      <c r="B165" s="48" t="s">
        <v>471</v>
      </c>
      <c r="C165" s="48" t="s">
        <v>458</v>
      </c>
      <c r="D165" s="48" t="s">
        <v>472</v>
      </c>
      <c r="E165" s="48" t="s">
        <v>473</v>
      </c>
      <c r="F165" s="30" t="s">
        <v>42</v>
      </c>
      <c r="G165" s="47"/>
    </row>
    <row r="166" spans="1:7" ht="12.75">
      <c r="A166" s="47"/>
      <c r="B166" s="48" t="s">
        <v>474</v>
      </c>
      <c r="C166" s="48" t="s">
        <v>458</v>
      </c>
      <c r="D166" s="48" t="s">
        <v>475</v>
      </c>
      <c r="E166" s="48" t="s">
        <v>476</v>
      </c>
      <c r="F166" s="30" t="s">
        <v>42</v>
      </c>
      <c r="G166" s="47"/>
    </row>
    <row r="167" spans="1:7" ht="12.75">
      <c r="A167" s="47"/>
      <c r="B167" s="48" t="s">
        <v>477</v>
      </c>
      <c r="C167" s="48" t="s">
        <v>478</v>
      </c>
      <c r="D167" s="48" t="s">
        <v>479</v>
      </c>
      <c r="E167" s="48" t="s">
        <v>480</v>
      </c>
      <c r="F167" s="30" t="s">
        <v>42</v>
      </c>
      <c r="G167" s="47"/>
    </row>
    <row r="168" spans="1:7" ht="12.75">
      <c r="A168" s="47"/>
      <c r="B168" s="48" t="s">
        <v>481</v>
      </c>
      <c r="C168" s="48" t="s">
        <v>478</v>
      </c>
      <c r="D168" s="48" t="s">
        <v>482</v>
      </c>
      <c r="E168" s="48" t="s">
        <v>483</v>
      </c>
      <c r="F168" s="30" t="s">
        <v>42</v>
      </c>
      <c r="G168" s="47"/>
    </row>
    <row r="169" spans="1:7" ht="12.75">
      <c r="A169" s="47"/>
      <c r="B169" s="48" t="s">
        <v>484</v>
      </c>
      <c r="C169" s="48" t="s">
        <v>478</v>
      </c>
      <c r="D169" s="48" t="s">
        <v>485</v>
      </c>
      <c r="E169" s="48" t="s">
        <v>486</v>
      </c>
      <c r="F169" s="30" t="s">
        <v>42</v>
      </c>
      <c r="G169" s="47"/>
    </row>
    <row r="170" spans="1:7" ht="12.75">
      <c r="A170" s="47"/>
      <c r="B170" s="48" t="s">
        <v>487</v>
      </c>
      <c r="C170" s="48" t="s">
        <v>478</v>
      </c>
      <c r="D170" s="48" t="s">
        <v>488</v>
      </c>
      <c r="E170" s="48" t="s">
        <v>489</v>
      </c>
      <c r="F170" s="30" t="s">
        <v>42</v>
      </c>
      <c r="G170" s="47"/>
    </row>
    <row r="171" spans="1:7" ht="12.75">
      <c r="A171" s="47"/>
      <c r="B171" s="48" t="s">
        <v>490</v>
      </c>
      <c r="C171" s="48" t="s">
        <v>478</v>
      </c>
      <c r="D171" s="48" t="s">
        <v>491</v>
      </c>
      <c r="E171" s="48" t="s">
        <v>492</v>
      </c>
      <c r="F171" s="30" t="s">
        <v>42</v>
      </c>
      <c r="G171" s="47"/>
    </row>
    <row r="172" spans="1:7" ht="12.75">
      <c r="A172" s="47"/>
      <c r="B172" s="48" t="s">
        <v>493</v>
      </c>
      <c r="C172" s="48" t="s">
        <v>478</v>
      </c>
      <c r="D172" s="48" t="s">
        <v>494</v>
      </c>
      <c r="E172" s="48" t="s">
        <v>495</v>
      </c>
      <c r="F172" s="30" t="s">
        <v>42</v>
      </c>
      <c r="G172" s="47"/>
    </row>
    <row r="173" spans="1:7" ht="12.75">
      <c r="A173" s="47"/>
      <c r="B173" s="48" t="s">
        <v>496</v>
      </c>
      <c r="C173" s="48" t="s">
        <v>497</v>
      </c>
      <c r="D173" s="48" t="s">
        <v>498</v>
      </c>
      <c r="E173" s="48" t="s">
        <v>499</v>
      </c>
      <c r="F173" s="30" t="s">
        <v>42</v>
      </c>
      <c r="G173" s="47"/>
    </row>
    <row r="174" spans="1:7" ht="12.75">
      <c r="A174" s="47"/>
      <c r="B174" s="48" t="s">
        <v>474</v>
      </c>
      <c r="C174" s="48" t="s">
        <v>478</v>
      </c>
      <c r="D174" s="48" t="s">
        <v>475</v>
      </c>
      <c r="E174" s="48" t="s">
        <v>476</v>
      </c>
      <c r="F174" s="30" t="s">
        <v>42</v>
      </c>
      <c r="G174" s="47"/>
    </row>
    <row r="175" spans="1:7" ht="12.75">
      <c r="A175" s="47"/>
      <c r="B175" s="48" t="s">
        <v>500</v>
      </c>
      <c r="C175" s="48" t="s">
        <v>501</v>
      </c>
      <c r="D175" s="48" t="s">
        <v>502</v>
      </c>
      <c r="E175" s="48" t="s">
        <v>503</v>
      </c>
      <c r="F175" s="30" t="s">
        <v>42</v>
      </c>
      <c r="G175" s="47"/>
    </row>
    <row r="176" spans="1:7" ht="12.75">
      <c r="A176" s="47"/>
      <c r="B176" s="48" t="s">
        <v>504</v>
      </c>
      <c r="C176" s="48" t="s">
        <v>501</v>
      </c>
      <c r="D176" s="48" t="s">
        <v>505</v>
      </c>
      <c r="E176" s="48" t="s">
        <v>506</v>
      </c>
      <c r="F176" s="30" t="s">
        <v>42</v>
      </c>
      <c r="G176" s="47"/>
    </row>
    <row r="177" spans="1:7" ht="12.75">
      <c r="A177" s="47"/>
      <c r="B177" s="48" t="s">
        <v>507</v>
      </c>
      <c r="C177" s="48" t="s">
        <v>508</v>
      </c>
      <c r="D177" s="48" t="s">
        <v>509</v>
      </c>
      <c r="E177" s="48" t="s">
        <v>510</v>
      </c>
      <c r="F177" s="30" t="s">
        <v>42</v>
      </c>
      <c r="G177" s="47"/>
    </row>
    <row r="178" spans="1:7" ht="12.75">
      <c r="A178" s="47"/>
      <c r="B178" s="48" t="s">
        <v>511</v>
      </c>
      <c r="C178" s="48" t="s">
        <v>501</v>
      </c>
      <c r="D178" s="48" t="s">
        <v>512</v>
      </c>
      <c r="E178" s="48" t="s">
        <v>513</v>
      </c>
      <c r="F178" s="30" t="s">
        <v>42</v>
      </c>
      <c r="G178" s="47"/>
    </row>
    <row r="179" spans="1:7" ht="12.75">
      <c r="A179" s="47"/>
      <c r="B179" s="48" t="s">
        <v>514</v>
      </c>
      <c r="C179" s="48" t="s">
        <v>501</v>
      </c>
      <c r="D179" s="48" t="s">
        <v>515</v>
      </c>
      <c r="E179" s="48" t="s">
        <v>516</v>
      </c>
      <c r="F179" s="30" t="s">
        <v>42</v>
      </c>
      <c r="G179" s="47"/>
    </row>
    <row r="180" spans="1:7" ht="12.75">
      <c r="A180" s="47"/>
      <c r="B180" s="48" t="s">
        <v>517</v>
      </c>
      <c r="C180" s="48" t="s">
        <v>501</v>
      </c>
      <c r="D180" s="48" t="s">
        <v>518</v>
      </c>
      <c r="E180" s="48" t="s">
        <v>519</v>
      </c>
      <c r="F180" s="30" t="s">
        <v>42</v>
      </c>
      <c r="G180" s="47"/>
    </row>
    <row r="181" spans="1:7" ht="12.75">
      <c r="A181" s="47"/>
      <c r="B181" s="48" t="s">
        <v>520</v>
      </c>
      <c r="C181" s="48" t="s">
        <v>501</v>
      </c>
      <c r="D181" s="48" t="s">
        <v>521</v>
      </c>
      <c r="E181" s="48" t="s">
        <v>522</v>
      </c>
      <c r="F181" s="30" t="s">
        <v>42</v>
      </c>
      <c r="G181" s="47"/>
    </row>
    <row r="182" spans="1:7" ht="12.75">
      <c r="A182" s="47"/>
      <c r="B182" s="48" t="s">
        <v>523</v>
      </c>
      <c r="C182" s="48" t="s">
        <v>501</v>
      </c>
      <c r="D182" s="48" t="s">
        <v>524</v>
      </c>
      <c r="E182" s="48" t="s">
        <v>525</v>
      </c>
      <c r="F182" s="30" t="s">
        <v>42</v>
      </c>
      <c r="G182" s="47"/>
    </row>
    <row r="186" spans="1:7" ht="14.25">
      <c r="A186" s="240" t="s">
        <v>526</v>
      </c>
      <c r="B186" s="237"/>
      <c r="C186" s="237"/>
      <c r="D186" s="238"/>
    </row>
    <row r="187" spans="1:7" ht="15">
      <c r="A187" s="1"/>
      <c r="B187" s="2" t="s">
        <v>2</v>
      </c>
      <c r="C187" s="2" t="s">
        <v>3</v>
      </c>
      <c r="D187" s="3" t="s">
        <v>4</v>
      </c>
    </row>
    <row r="188" spans="1:7" ht="30">
      <c r="A188" s="7" t="s">
        <v>5</v>
      </c>
      <c r="B188" s="8">
        <f>COUNTIF(F196:F257, "NOT YET STARTED")</f>
        <v>0</v>
      </c>
      <c r="C188" s="9">
        <f>IFERROR(B188/B192,"")</f>
        <v>0</v>
      </c>
      <c r="D188" s="241">
        <f>IFERROR(B190/B192,"")</f>
        <v>0.30894308943089432</v>
      </c>
    </row>
    <row r="189" spans="1:7" ht="15">
      <c r="A189" s="7" t="s">
        <v>7</v>
      </c>
      <c r="B189" s="8">
        <f>COUNTIF(F196:F257, "IN PROGRESS")</f>
        <v>0</v>
      </c>
      <c r="C189" s="9">
        <f>IFERROR(B189/COUNTIF(B$11:B426, ""), 0)</f>
        <v>0</v>
      </c>
      <c r="D189" s="242"/>
    </row>
    <row r="190" spans="1:7" ht="15">
      <c r="A190" s="7" t="s">
        <v>8</v>
      </c>
      <c r="B190" s="8">
        <f>COUNTIF(F196:F325, "PASSED")</f>
        <v>38</v>
      </c>
      <c r="C190" s="9">
        <f>IFERROR(B190/B192,"")</f>
        <v>0.30894308943089432</v>
      </c>
      <c r="D190" s="242"/>
    </row>
    <row r="191" spans="1:7" ht="15">
      <c r="A191" s="7" t="s">
        <v>9</v>
      </c>
      <c r="B191" s="8">
        <f>COUNTIF(F196:F325, "FAILED")</f>
        <v>85</v>
      </c>
      <c r="C191" s="9">
        <f>IFERROR(B191/B192,"")</f>
        <v>0.69105691056910568</v>
      </c>
      <c r="D191" s="242"/>
    </row>
    <row r="192" spans="1:7" ht="19.5">
      <c r="A192" s="14" t="s">
        <v>10</v>
      </c>
      <c r="B192" s="14">
        <f>SUM(B188:B191)</f>
        <v>123</v>
      </c>
      <c r="C192" s="14">
        <f>IFERROR((B192/#REF!)*100,0)</f>
        <v>0</v>
      </c>
      <c r="D192" s="243"/>
    </row>
    <row r="194" spans="1:25" ht="16.5" customHeight="1">
      <c r="A194" s="18" t="s">
        <v>11</v>
      </c>
      <c r="B194" s="18" t="s">
        <v>12</v>
      </c>
      <c r="C194" s="18" t="s">
        <v>13</v>
      </c>
      <c r="D194" s="19" t="s">
        <v>14</v>
      </c>
      <c r="E194" s="18" t="s">
        <v>15</v>
      </c>
      <c r="F194" s="21" t="s">
        <v>16</v>
      </c>
      <c r="G194" s="21" t="s">
        <v>17</v>
      </c>
    </row>
    <row r="195" spans="1:25" ht="12.75">
      <c r="A195" s="236" t="s">
        <v>529</v>
      </c>
      <c r="B195" s="237"/>
      <c r="C195" s="237"/>
      <c r="D195" s="237"/>
      <c r="E195" s="237"/>
      <c r="F195" s="237"/>
      <c r="G195" s="238"/>
    </row>
    <row r="196" spans="1:25" ht="89.25">
      <c r="A196" s="245" t="s">
        <v>530</v>
      </c>
      <c r="B196" s="25" t="s">
        <v>531</v>
      </c>
      <c r="C196" s="239" t="s">
        <v>21</v>
      </c>
      <c r="D196" s="25" t="s">
        <v>22</v>
      </c>
      <c r="E196" s="30" t="s">
        <v>23</v>
      </c>
      <c r="F196" s="30" t="s">
        <v>24</v>
      </c>
      <c r="G196" s="34"/>
    </row>
    <row r="197" spans="1:25" ht="63.75">
      <c r="A197" s="235"/>
      <c r="B197" s="25" t="s">
        <v>1556</v>
      </c>
      <c r="C197" s="235"/>
      <c r="D197" s="25" t="s">
        <v>26</v>
      </c>
      <c r="E197" s="30" t="s">
        <v>27</v>
      </c>
      <c r="F197" s="30" t="s">
        <v>24</v>
      </c>
      <c r="G197" s="34"/>
    </row>
    <row r="198" spans="1:25" ht="89.25">
      <c r="A198" s="235"/>
      <c r="B198" s="25" t="s">
        <v>532</v>
      </c>
      <c r="C198" s="235"/>
      <c r="D198" s="25" t="s">
        <v>533</v>
      </c>
      <c r="E198" s="30" t="s">
        <v>534</v>
      </c>
      <c r="F198" s="30" t="s">
        <v>24</v>
      </c>
      <c r="G198" s="34"/>
    </row>
    <row r="199" spans="1:25" ht="102">
      <c r="A199" s="235"/>
      <c r="B199" s="25" t="s">
        <v>28</v>
      </c>
      <c r="C199" s="235"/>
      <c r="D199" s="25" t="s">
        <v>29</v>
      </c>
      <c r="E199" s="49" t="s">
        <v>535</v>
      </c>
      <c r="F199" s="30" t="s">
        <v>24</v>
      </c>
      <c r="G199" s="34"/>
    </row>
    <row r="200" spans="1:25" ht="76.5">
      <c r="A200" s="235"/>
      <c r="B200" s="25" t="s">
        <v>536</v>
      </c>
      <c r="C200" s="235"/>
      <c r="D200" s="25" t="s">
        <v>537</v>
      </c>
      <c r="E200" s="30" t="s">
        <v>23</v>
      </c>
      <c r="F200" s="30" t="s">
        <v>24</v>
      </c>
      <c r="G200" s="34"/>
    </row>
    <row r="201" spans="1:25" ht="63.75">
      <c r="A201" s="235"/>
      <c r="B201" s="25" t="s">
        <v>31</v>
      </c>
      <c r="C201" s="235"/>
      <c r="D201" s="25" t="s">
        <v>32</v>
      </c>
      <c r="E201" s="30" t="s">
        <v>33</v>
      </c>
      <c r="F201" s="30" t="s">
        <v>24</v>
      </c>
      <c r="G201" s="34"/>
    </row>
    <row r="202" spans="1:25" ht="38.25">
      <c r="A202" s="235"/>
      <c r="B202" s="25" t="s">
        <v>34</v>
      </c>
      <c r="C202" s="235"/>
      <c r="D202" s="25" t="s">
        <v>35</v>
      </c>
      <c r="E202" s="30" t="s">
        <v>36</v>
      </c>
      <c r="F202" s="30" t="s">
        <v>24</v>
      </c>
      <c r="G202" s="34"/>
    </row>
    <row r="203" spans="1:25" ht="102">
      <c r="A203" s="235"/>
      <c r="B203" s="23" t="s">
        <v>538</v>
      </c>
      <c r="C203" s="235"/>
      <c r="D203" s="23" t="s">
        <v>1557</v>
      </c>
      <c r="E203" s="30" t="s">
        <v>539</v>
      </c>
      <c r="F203" s="30" t="s">
        <v>24</v>
      </c>
      <c r="G203" s="34"/>
      <c r="H203" s="50"/>
      <c r="I203" s="50"/>
      <c r="J203" s="50"/>
      <c r="K203" s="50"/>
      <c r="L203" s="50"/>
      <c r="M203" s="50"/>
      <c r="N203" s="50"/>
      <c r="O203" s="50"/>
      <c r="P203" s="50"/>
      <c r="Q203" s="50"/>
      <c r="R203" s="50"/>
      <c r="S203" s="50"/>
      <c r="T203" s="50"/>
      <c r="U203" s="50"/>
      <c r="V203" s="50"/>
      <c r="W203" s="50"/>
      <c r="X203" s="50"/>
      <c r="Y203" s="50"/>
    </row>
    <row r="204" spans="1:25" ht="51">
      <c r="A204" s="235"/>
      <c r="B204" s="23" t="s">
        <v>540</v>
      </c>
      <c r="C204" s="235"/>
      <c r="D204" s="23" t="s">
        <v>541</v>
      </c>
      <c r="E204" s="30" t="s">
        <v>542</v>
      </c>
      <c r="F204" s="30" t="s">
        <v>24</v>
      </c>
      <c r="G204" s="34"/>
      <c r="H204" s="50"/>
      <c r="I204" s="50"/>
      <c r="J204" s="50"/>
      <c r="K204" s="50"/>
      <c r="L204" s="50"/>
      <c r="M204" s="50"/>
      <c r="N204" s="50"/>
      <c r="O204" s="50"/>
      <c r="P204" s="50"/>
      <c r="Q204" s="50"/>
      <c r="R204" s="50"/>
      <c r="S204" s="50"/>
      <c r="T204" s="50"/>
      <c r="U204" s="50"/>
      <c r="V204" s="50"/>
      <c r="W204" s="50"/>
      <c r="X204" s="50"/>
      <c r="Y204" s="50"/>
    </row>
    <row r="205" spans="1:25" ht="51">
      <c r="A205" s="235"/>
      <c r="B205" s="23" t="s">
        <v>543</v>
      </c>
      <c r="C205" s="235"/>
      <c r="D205" s="38" t="s">
        <v>544</v>
      </c>
      <c r="E205" s="30" t="s">
        <v>545</v>
      </c>
      <c r="F205" s="30" t="s">
        <v>24</v>
      </c>
      <c r="G205" s="25"/>
      <c r="H205" s="36" t="s">
        <v>2135</v>
      </c>
      <c r="I205" s="50"/>
      <c r="J205" s="50"/>
      <c r="K205" s="50"/>
      <c r="L205" s="50"/>
      <c r="M205" s="50"/>
      <c r="N205" s="50"/>
      <c r="O205" s="50"/>
      <c r="P205" s="50"/>
      <c r="Q205" s="50"/>
      <c r="R205" s="50"/>
      <c r="S205" s="50"/>
      <c r="T205" s="50"/>
      <c r="U205" s="50"/>
      <c r="V205" s="50"/>
      <c r="W205" s="50"/>
      <c r="X205" s="50"/>
      <c r="Y205" s="50"/>
    </row>
    <row r="206" spans="1:25" ht="51">
      <c r="A206" s="234"/>
      <c r="B206" s="23" t="s">
        <v>546</v>
      </c>
      <c r="C206" s="234"/>
      <c r="D206" s="38" t="s">
        <v>547</v>
      </c>
      <c r="E206" s="49" t="s">
        <v>548</v>
      </c>
      <c r="F206" s="30" t="s">
        <v>24</v>
      </c>
      <c r="G206" s="34"/>
      <c r="H206" s="50"/>
      <c r="I206" s="50"/>
      <c r="J206" s="50"/>
      <c r="K206" s="50"/>
      <c r="L206" s="50"/>
      <c r="M206" s="50"/>
      <c r="N206" s="50"/>
      <c r="O206" s="50"/>
      <c r="P206" s="50"/>
      <c r="Q206" s="50"/>
      <c r="R206" s="50"/>
      <c r="S206" s="50"/>
      <c r="T206" s="50"/>
      <c r="U206" s="50"/>
      <c r="V206" s="50"/>
      <c r="W206" s="50"/>
      <c r="X206" s="50"/>
      <c r="Y206" s="50"/>
    </row>
    <row r="207" spans="1:25" ht="12.75">
      <c r="A207" s="236" t="s">
        <v>1558</v>
      </c>
      <c r="B207" s="237"/>
      <c r="C207" s="237"/>
      <c r="D207" s="237"/>
      <c r="E207" s="237"/>
      <c r="F207" s="237"/>
      <c r="G207" s="238"/>
      <c r="H207" s="50"/>
      <c r="I207" s="50"/>
      <c r="J207" s="50"/>
      <c r="K207" s="50"/>
      <c r="L207" s="50"/>
      <c r="M207" s="50"/>
      <c r="N207" s="50"/>
      <c r="O207" s="50"/>
      <c r="P207" s="50"/>
      <c r="Q207" s="50"/>
      <c r="R207" s="50"/>
      <c r="S207" s="50"/>
      <c r="T207" s="50"/>
      <c r="U207" s="50"/>
      <c r="V207" s="50"/>
      <c r="W207" s="50"/>
      <c r="X207" s="50"/>
      <c r="Y207" s="50"/>
    </row>
    <row r="208" spans="1:25" ht="25.5">
      <c r="A208" s="245" t="s">
        <v>549</v>
      </c>
      <c r="B208" s="26" t="s">
        <v>550</v>
      </c>
      <c r="C208" s="247" t="s">
        <v>551</v>
      </c>
      <c r="D208" s="26" t="s">
        <v>552</v>
      </c>
      <c r="E208" s="23" t="s">
        <v>553</v>
      </c>
      <c r="F208" s="30" t="s">
        <v>24</v>
      </c>
      <c r="G208" s="40"/>
    </row>
    <row r="209" spans="1:7" ht="25.5">
      <c r="A209" s="235"/>
      <c r="B209" s="23" t="s">
        <v>554</v>
      </c>
      <c r="C209" s="235"/>
      <c r="D209" s="25" t="s">
        <v>555</v>
      </c>
      <c r="E209" s="23" t="s">
        <v>556</v>
      </c>
      <c r="F209" s="30" t="s">
        <v>42</v>
      </c>
      <c r="G209" s="23" t="s">
        <v>2136</v>
      </c>
    </row>
    <row r="210" spans="1:7" ht="38.25">
      <c r="A210" s="235"/>
      <c r="B210" s="26" t="s">
        <v>557</v>
      </c>
      <c r="C210" s="235"/>
      <c r="D210" s="248" t="s">
        <v>558</v>
      </c>
      <c r="E210" s="25" t="s">
        <v>559</v>
      </c>
      <c r="F210" s="30" t="s">
        <v>42</v>
      </c>
      <c r="G210" s="23" t="s">
        <v>2137</v>
      </c>
    </row>
    <row r="211" spans="1:7" ht="25.5">
      <c r="A211" s="235"/>
      <c r="B211" s="23" t="s">
        <v>560</v>
      </c>
      <c r="C211" s="235"/>
      <c r="D211" s="234"/>
      <c r="E211" s="25" t="s">
        <v>559</v>
      </c>
      <c r="F211" s="30" t="s">
        <v>42</v>
      </c>
      <c r="G211" s="23" t="s">
        <v>2138</v>
      </c>
    </row>
    <row r="212" spans="1:7" ht="25.5">
      <c r="A212" s="235"/>
      <c r="B212" s="23" t="s">
        <v>561</v>
      </c>
      <c r="C212" s="235"/>
      <c r="D212" s="25" t="s">
        <v>562</v>
      </c>
      <c r="E212" s="25" t="s">
        <v>563</v>
      </c>
      <c r="F212" s="30" t="s">
        <v>42</v>
      </c>
      <c r="G212" s="23" t="s">
        <v>2139</v>
      </c>
    </row>
    <row r="213" spans="1:7" ht="25.5">
      <c r="A213" s="234"/>
      <c r="B213" s="23" t="s">
        <v>564</v>
      </c>
      <c r="C213" s="234"/>
      <c r="D213" s="25" t="s">
        <v>565</v>
      </c>
      <c r="E213" s="25" t="s">
        <v>566</v>
      </c>
      <c r="F213" s="30" t="s">
        <v>42</v>
      </c>
      <c r="G213" s="23" t="s">
        <v>2140</v>
      </c>
    </row>
    <row r="214" spans="1:7" ht="102">
      <c r="A214" s="245" t="s">
        <v>1559</v>
      </c>
      <c r="B214" s="26" t="s">
        <v>72</v>
      </c>
      <c r="C214" s="247" t="s">
        <v>73</v>
      </c>
      <c r="D214" s="26" t="s">
        <v>1560</v>
      </c>
      <c r="E214" s="23" t="s">
        <v>75</v>
      </c>
      <c r="F214" s="30" t="s">
        <v>42</v>
      </c>
      <c r="G214" s="23" t="s">
        <v>2141</v>
      </c>
    </row>
    <row r="215" spans="1:7" ht="76.5">
      <c r="A215" s="235"/>
      <c r="B215" s="23" t="s">
        <v>789</v>
      </c>
      <c r="C215" s="235"/>
      <c r="D215" s="25" t="s">
        <v>1562</v>
      </c>
      <c r="E215" s="25" t="s">
        <v>1563</v>
      </c>
      <c r="F215" s="30" t="s">
        <v>42</v>
      </c>
      <c r="G215" s="23" t="s">
        <v>2141</v>
      </c>
    </row>
    <row r="216" spans="1:7" ht="63.75">
      <c r="A216" s="234"/>
      <c r="B216" s="23" t="s">
        <v>76</v>
      </c>
      <c r="C216" s="234"/>
      <c r="D216" s="36" t="s">
        <v>1564</v>
      </c>
      <c r="E216" s="25" t="s">
        <v>1565</v>
      </c>
      <c r="F216" s="30" t="s">
        <v>42</v>
      </c>
      <c r="G216" s="23" t="s">
        <v>2141</v>
      </c>
    </row>
    <row r="217" spans="1:7" ht="89.25">
      <c r="A217" s="29" t="s">
        <v>1567</v>
      </c>
      <c r="B217" s="23" t="s">
        <v>1568</v>
      </c>
      <c r="C217" s="30" t="s">
        <v>1569</v>
      </c>
      <c r="D217" s="25" t="s">
        <v>1570</v>
      </c>
      <c r="E217" s="23" t="s">
        <v>1571</v>
      </c>
      <c r="F217" s="30" t="s">
        <v>42</v>
      </c>
      <c r="G217" s="23" t="s">
        <v>2141</v>
      </c>
    </row>
    <row r="218" spans="1:7" ht="25.5">
      <c r="A218" s="245" t="s">
        <v>567</v>
      </c>
      <c r="B218" s="25" t="s">
        <v>568</v>
      </c>
      <c r="C218" s="247" t="s">
        <v>569</v>
      </c>
      <c r="D218" s="25" t="s">
        <v>570</v>
      </c>
      <c r="E218" s="23" t="s">
        <v>571</v>
      </c>
      <c r="F218" s="30" t="s">
        <v>42</v>
      </c>
      <c r="G218" s="23" t="s">
        <v>2141</v>
      </c>
    </row>
    <row r="219" spans="1:7" ht="25.5">
      <c r="A219" s="235"/>
      <c r="B219" s="25" t="s">
        <v>572</v>
      </c>
      <c r="C219" s="235"/>
      <c r="D219" s="25" t="s">
        <v>573</v>
      </c>
      <c r="E219" s="23" t="s">
        <v>574</v>
      </c>
      <c r="F219" s="30" t="s">
        <v>42</v>
      </c>
      <c r="G219" s="23" t="s">
        <v>2141</v>
      </c>
    </row>
    <row r="220" spans="1:7" ht="25.5">
      <c r="A220" s="235"/>
      <c r="B220" s="25" t="s">
        <v>575</v>
      </c>
      <c r="C220" s="235"/>
      <c r="D220" s="25" t="s">
        <v>576</v>
      </c>
      <c r="E220" s="23" t="s">
        <v>577</v>
      </c>
      <c r="F220" s="30" t="s">
        <v>42</v>
      </c>
      <c r="G220" s="23" t="s">
        <v>2141</v>
      </c>
    </row>
    <row r="221" spans="1:7" ht="51">
      <c r="A221" s="235"/>
      <c r="B221" s="25" t="s">
        <v>578</v>
      </c>
      <c r="C221" s="235"/>
      <c r="D221" s="25" t="s">
        <v>579</v>
      </c>
      <c r="E221" s="23" t="s">
        <v>580</v>
      </c>
      <c r="F221" s="30" t="s">
        <v>42</v>
      </c>
      <c r="G221" s="23" t="s">
        <v>2141</v>
      </c>
    </row>
    <row r="222" spans="1:7" ht="25.5">
      <c r="A222" s="235"/>
      <c r="B222" s="25" t="s">
        <v>581</v>
      </c>
      <c r="C222" s="235"/>
      <c r="D222" s="25" t="s">
        <v>582</v>
      </c>
      <c r="E222" s="23" t="s">
        <v>583</v>
      </c>
      <c r="F222" s="30" t="s">
        <v>42</v>
      </c>
      <c r="G222" s="23" t="s">
        <v>2141</v>
      </c>
    </row>
    <row r="223" spans="1:7" ht="25.5">
      <c r="A223" s="235"/>
      <c r="B223" s="25" t="s">
        <v>584</v>
      </c>
      <c r="C223" s="235"/>
      <c r="D223" s="25" t="s">
        <v>585</v>
      </c>
      <c r="E223" s="23" t="s">
        <v>586</v>
      </c>
      <c r="F223" s="30" t="s">
        <v>42</v>
      </c>
      <c r="G223" s="23" t="s">
        <v>2141</v>
      </c>
    </row>
    <row r="224" spans="1:7" ht="25.5">
      <c r="A224" s="235"/>
      <c r="B224" s="25" t="s">
        <v>587</v>
      </c>
      <c r="C224" s="235"/>
      <c r="D224" s="25" t="s">
        <v>588</v>
      </c>
      <c r="E224" s="23" t="s">
        <v>589</v>
      </c>
      <c r="F224" s="30" t="s">
        <v>42</v>
      </c>
      <c r="G224" s="23" t="s">
        <v>2141</v>
      </c>
    </row>
    <row r="225" spans="1:7" ht="51">
      <c r="A225" s="235"/>
      <c r="B225" s="25" t="s">
        <v>590</v>
      </c>
      <c r="C225" s="235"/>
      <c r="D225" s="25" t="s">
        <v>591</v>
      </c>
      <c r="E225" s="23" t="s">
        <v>592</v>
      </c>
      <c r="F225" s="30" t="s">
        <v>42</v>
      </c>
      <c r="G225" s="23" t="s">
        <v>2141</v>
      </c>
    </row>
    <row r="226" spans="1:7" ht="38.25">
      <c r="A226" s="234"/>
      <c r="B226" s="25" t="s">
        <v>593</v>
      </c>
      <c r="C226" s="234"/>
      <c r="D226" s="25" t="s">
        <v>594</v>
      </c>
      <c r="E226" s="23" t="s">
        <v>595</v>
      </c>
      <c r="F226" s="30" t="s">
        <v>42</v>
      </c>
      <c r="G226" s="23" t="s">
        <v>2141</v>
      </c>
    </row>
    <row r="227" spans="1:7" ht="12.75">
      <c r="A227" s="236" t="s">
        <v>1573</v>
      </c>
      <c r="B227" s="237"/>
      <c r="C227" s="237"/>
      <c r="D227" s="237"/>
      <c r="E227" s="237"/>
      <c r="F227" s="237"/>
      <c r="G227" s="238"/>
    </row>
    <row r="228" spans="1:7" ht="38.25">
      <c r="A228" s="22" t="s">
        <v>1574</v>
      </c>
      <c r="B228" s="24" t="s">
        <v>1575</v>
      </c>
      <c r="C228" s="31" t="s">
        <v>1576</v>
      </c>
      <c r="D228" s="33" t="s">
        <v>1577</v>
      </c>
      <c r="E228" s="24" t="s">
        <v>1578</v>
      </c>
      <c r="F228" s="60" t="s">
        <v>24</v>
      </c>
      <c r="G228" s="23" t="s">
        <v>2142</v>
      </c>
    </row>
    <row r="229" spans="1:7" ht="51">
      <c r="A229" s="233" t="s">
        <v>1579</v>
      </c>
      <c r="B229" s="25" t="s">
        <v>1580</v>
      </c>
      <c r="C229" s="255" t="s">
        <v>1581</v>
      </c>
      <c r="D229" s="63" t="s">
        <v>1582</v>
      </c>
      <c r="E229" s="63" t="s">
        <v>1583</v>
      </c>
      <c r="F229" s="27" t="s">
        <v>24</v>
      </c>
      <c r="G229" s="28"/>
    </row>
    <row r="230" spans="1:7" ht="51">
      <c r="A230" s="235"/>
      <c r="B230" s="25" t="s">
        <v>1584</v>
      </c>
      <c r="C230" s="235"/>
      <c r="D230" s="63" t="s">
        <v>1585</v>
      </c>
      <c r="E230" s="63" t="s">
        <v>1586</v>
      </c>
      <c r="F230" s="27" t="s">
        <v>24</v>
      </c>
      <c r="G230" s="28"/>
    </row>
    <row r="231" spans="1:7" ht="51">
      <c r="A231" s="235"/>
      <c r="B231" s="25" t="s">
        <v>1587</v>
      </c>
      <c r="C231" s="235"/>
      <c r="D231" s="63" t="s">
        <v>1588</v>
      </c>
      <c r="E231" s="63" t="s">
        <v>1589</v>
      </c>
      <c r="F231" s="27" t="s">
        <v>24</v>
      </c>
      <c r="G231" s="28"/>
    </row>
    <row r="232" spans="1:7" ht="51">
      <c r="A232" s="235"/>
      <c r="B232" s="25" t="s">
        <v>1590</v>
      </c>
      <c r="C232" s="235"/>
      <c r="D232" s="63" t="s">
        <v>1591</v>
      </c>
      <c r="E232" s="63" t="s">
        <v>1592</v>
      </c>
      <c r="F232" s="27" t="s">
        <v>24</v>
      </c>
      <c r="G232" s="28"/>
    </row>
    <row r="233" spans="1:7" ht="51">
      <c r="A233" s="235"/>
      <c r="B233" s="25" t="s">
        <v>1593</v>
      </c>
      <c r="C233" s="235"/>
      <c r="D233" s="63" t="s">
        <v>1594</v>
      </c>
      <c r="E233" s="63" t="s">
        <v>1595</v>
      </c>
      <c r="F233" s="27" t="s">
        <v>24</v>
      </c>
      <c r="G233" s="28"/>
    </row>
    <row r="234" spans="1:7" ht="63.75">
      <c r="A234" s="235"/>
      <c r="B234" s="25" t="s">
        <v>1596</v>
      </c>
      <c r="C234" s="235"/>
      <c r="D234" s="63" t="s">
        <v>1597</v>
      </c>
      <c r="E234" s="63" t="s">
        <v>1598</v>
      </c>
      <c r="F234" s="27" t="s">
        <v>24</v>
      </c>
      <c r="G234" s="28"/>
    </row>
    <row r="235" spans="1:7" ht="76.5">
      <c r="A235" s="234"/>
      <c r="B235" s="23" t="s">
        <v>1599</v>
      </c>
      <c r="C235" s="234"/>
      <c r="D235" s="23" t="s">
        <v>1600</v>
      </c>
      <c r="E235" s="23" t="s">
        <v>1601</v>
      </c>
      <c r="F235" s="30" t="s">
        <v>24</v>
      </c>
      <c r="G235" s="28"/>
    </row>
    <row r="236" spans="1:7" ht="76.5">
      <c r="A236" s="233" t="s">
        <v>1602</v>
      </c>
      <c r="B236" s="23" t="s">
        <v>1603</v>
      </c>
      <c r="C236" s="239" t="s">
        <v>1604</v>
      </c>
      <c r="D236" s="23" t="s">
        <v>1605</v>
      </c>
      <c r="E236" s="23" t="s">
        <v>1606</v>
      </c>
      <c r="F236" s="30" t="s">
        <v>42</v>
      </c>
      <c r="G236" s="23" t="s">
        <v>2143</v>
      </c>
    </row>
    <row r="237" spans="1:7" ht="76.5">
      <c r="A237" s="235"/>
      <c r="B237" s="23" t="s">
        <v>1607</v>
      </c>
      <c r="C237" s="235"/>
      <c r="D237" s="23" t="s">
        <v>1608</v>
      </c>
      <c r="E237" s="23" t="s">
        <v>1609</v>
      </c>
      <c r="F237" s="30" t="s">
        <v>42</v>
      </c>
      <c r="G237" s="23" t="s">
        <v>2144</v>
      </c>
    </row>
    <row r="238" spans="1:7" ht="76.5">
      <c r="A238" s="235"/>
      <c r="B238" s="23" t="s">
        <v>1610</v>
      </c>
      <c r="C238" s="235"/>
      <c r="D238" s="23" t="s">
        <v>1608</v>
      </c>
      <c r="E238" s="23" t="s">
        <v>1611</v>
      </c>
      <c r="F238" s="30" t="s">
        <v>42</v>
      </c>
      <c r="G238" s="23" t="s">
        <v>2144</v>
      </c>
    </row>
    <row r="239" spans="1:7" ht="76.5">
      <c r="A239" s="235"/>
      <c r="B239" s="23" t="s">
        <v>1612</v>
      </c>
      <c r="C239" s="235"/>
      <c r="D239" s="23" t="s">
        <v>1613</v>
      </c>
      <c r="E239" s="23" t="s">
        <v>1614</v>
      </c>
      <c r="F239" s="30" t="s">
        <v>42</v>
      </c>
      <c r="G239" s="23" t="s">
        <v>2144</v>
      </c>
    </row>
    <row r="240" spans="1:7" ht="76.5">
      <c r="A240" s="235"/>
      <c r="B240" s="23" t="s">
        <v>1616</v>
      </c>
      <c r="C240" s="235"/>
      <c r="D240" s="23" t="s">
        <v>1608</v>
      </c>
      <c r="E240" s="23" t="s">
        <v>1617</v>
      </c>
      <c r="F240" s="30" t="s">
        <v>24</v>
      </c>
      <c r="G240" s="28"/>
    </row>
    <row r="241" spans="1:25" ht="76.5">
      <c r="A241" s="234"/>
      <c r="B241" s="23" t="s">
        <v>1619</v>
      </c>
      <c r="C241" s="235"/>
      <c r="D241" s="23" t="s">
        <v>1608</v>
      </c>
      <c r="E241" s="23" t="s">
        <v>1620</v>
      </c>
      <c r="F241" s="30" t="s">
        <v>24</v>
      </c>
      <c r="G241" s="23" t="s">
        <v>2145</v>
      </c>
    </row>
    <row r="242" spans="1:25" ht="51">
      <c r="A242" s="61" t="s">
        <v>1621</v>
      </c>
      <c r="B242" s="23" t="s">
        <v>1622</v>
      </c>
      <c r="C242" s="234"/>
      <c r="D242" s="63" t="s">
        <v>1623</v>
      </c>
      <c r="E242" s="63" t="s">
        <v>1624</v>
      </c>
      <c r="F242" s="27" t="s">
        <v>42</v>
      </c>
      <c r="G242" s="23" t="s">
        <v>2146</v>
      </c>
    </row>
    <row r="243" spans="1:25" ht="12.75">
      <c r="A243" s="263" t="s">
        <v>1626</v>
      </c>
      <c r="B243" s="260"/>
      <c r="C243" s="260"/>
      <c r="D243" s="260"/>
      <c r="E243" s="260"/>
      <c r="F243" s="260"/>
      <c r="G243" s="264"/>
    </row>
    <row r="244" spans="1:25" ht="89.25">
      <c r="A244" s="61" t="s">
        <v>1627</v>
      </c>
      <c r="B244" s="24" t="s">
        <v>1628</v>
      </c>
      <c r="C244" s="33" t="s">
        <v>1629</v>
      </c>
      <c r="D244" s="62" t="s">
        <v>1630</v>
      </c>
      <c r="E244" s="62" t="s">
        <v>1631</v>
      </c>
      <c r="F244" s="60" t="s">
        <v>24</v>
      </c>
      <c r="G244" s="25" t="s">
        <v>2147</v>
      </c>
    </row>
    <row r="245" spans="1:25" ht="51">
      <c r="A245" s="61" t="s">
        <v>1632</v>
      </c>
      <c r="B245" s="24" t="s">
        <v>1633</v>
      </c>
      <c r="C245" s="24" t="s">
        <v>1634</v>
      </c>
      <c r="D245" s="62" t="s">
        <v>1635</v>
      </c>
      <c r="E245" s="62" t="s">
        <v>1636</v>
      </c>
      <c r="F245" s="60" t="s">
        <v>42</v>
      </c>
      <c r="G245" s="25" t="s">
        <v>2148</v>
      </c>
    </row>
    <row r="246" spans="1:25" ht="51">
      <c r="A246" s="61" t="s">
        <v>1637</v>
      </c>
      <c r="B246" s="24" t="s">
        <v>1638</v>
      </c>
      <c r="C246" s="239" t="s">
        <v>1639</v>
      </c>
      <c r="D246" s="62" t="s">
        <v>1640</v>
      </c>
      <c r="E246" s="62" t="s">
        <v>1641</v>
      </c>
      <c r="F246" s="60" t="s">
        <v>42</v>
      </c>
      <c r="G246" s="23" t="s">
        <v>2148</v>
      </c>
    </row>
    <row r="247" spans="1:25" ht="89.25">
      <c r="A247" s="61" t="s">
        <v>1642</v>
      </c>
      <c r="B247" s="24" t="s">
        <v>1643</v>
      </c>
      <c r="C247" s="235"/>
      <c r="D247" s="62" t="s">
        <v>1644</v>
      </c>
      <c r="E247" s="62" t="s">
        <v>1645</v>
      </c>
      <c r="F247" s="60" t="s">
        <v>42</v>
      </c>
      <c r="G247" s="25" t="s">
        <v>2148</v>
      </c>
    </row>
    <row r="248" spans="1:25" ht="12.75">
      <c r="A248" s="265" t="s">
        <v>1646</v>
      </c>
      <c r="B248" s="260"/>
      <c r="C248" s="260"/>
      <c r="D248" s="260"/>
      <c r="E248" s="260"/>
      <c r="F248" s="260"/>
      <c r="G248" s="264"/>
    </row>
    <row r="249" spans="1:25" ht="51">
      <c r="A249" s="61" t="s">
        <v>1647</v>
      </c>
      <c r="B249" s="24" t="s">
        <v>1648</v>
      </c>
      <c r="C249" s="33" t="s">
        <v>1629</v>
      </c>
      <c r="D249" s="23" t="s">
        <v>1649</v>
      </c>
      <c r="E249" s="62" t="s">
        <v>1650</v>
      </c>
      <c r="F249" s="60" t="s">
        <v>24</v>
      </c>
      <c r="G249" s="57"/>
    </row>
    <row r="250" spans="1:25" ht="51">
      <c r="A250" s="61" t="s">
        <v>1651</v>
      </c>
      <c r="B250" s="24" t="s">
        <v>1652</v>
      </c>
      <c r="C250" s="24" t="s">
        <v>1653</v>
      </c>
      <c r="D250" s="62" t="s">
        <v>1654</v>
      </c>
      <c r="E250" s="62" t="s">
        <v>1655</v>
      </c>
      <c r="F250" s="60" t="s">
        <v>42</v>
      </c>
      <c r="G250" s="57" t="s">
        <v>2149</v>
      </c>
    </row>
    <row r="251" spans="1:25" ht="51">
      <c r="A251" s="61" t="s">
        <v>1656</v>
      </c>
      <c r="B251" s="24" t="s">
        <v>1657</v>
      </c>
      <c r="C251" s="89" t="s">
        <v>1658</v>
      </c>
      <c r="D251" s="62" t="s">
        <v>1659</v>
      </c>
      <c r="E251" s="62" t="s">
        <v>1660</v>
      </c>
      <c r="F251" s="60" t="s">
        <v>42</v>
      </c>
      <c r="G251" s="57" t="s">
        <v>2149</v>
      </c>
      <c r="H251" s="42" t="s">
        <v>2150</v>
      </c>
    </row>
    <row r="252" spans="1:25" ht="76.5">
      <c r="A252" s="61" t="s">
        <v>1661</v>
      </c>
      <c r="B252" s="24" t="s">
        <v>1662</v>
      </c>
      <c r="C252" s="89" t="s">
        <v>1663</v>
      </c>
      <c r="D252" s="62" t="s">
        <v>1664</v>
      </c>
      <c r="E252" s="62" t="s">
        <v>1665</v>
      </c>
      <c r="F252" s="60" t="s">
        <v>42</v>
      </c>
      <c r="G252" s="57" t="s">
        <v>2149</v>
      </c>
    </row>
    <row r="253" spans="1:25" ht="12.75">
      <c r="A253" s="236" t="s">
        <v>1723</v>
      </c>
      <c r="B253" s="237"/>
      <c r="C253" s="237"/>
      <c r="D253" s="237"/>
      <c r="E253" s="237"/>
      <c r="F253" s="237"/>
      <c r="G253" s="238"/>
      <c r="H253" s="39"/>
      <c r="I253" s="39"/>
      <c r="J253" s="39"/>
      <c r="K253" s="39"/>
      <c r="L253" s="39"/>
      <c r="M253" s="39"/>
      <c r="N253" s="39"/>
      <c r="O253" s="39"/>
      <c r="P253" s="39"/>
      <c r="Q253" s="39"/>
      <c r="R253" s="39"/>
      <c r="S253" s="39"/>
      <c r="T253" s="39"/>
      <c r="U253" s="39"/>
      <c r="V253" s="39"/>
      <c r="W253" s="39"/>
      <c r="X253" s="39"/>
      <c r="Y253" s="39"/>
    </row>
    <row r="254" spans="1:25" ht="25.5">
      <c r="A254" s="233" t="s">
        <v>1724</v>
      </c>
      <c r="B254" s="25" t="s">
        <v>1725</v>
      </c>
      <c r="C254" s="239" t="s">
        <v>1726</v>
      </c>
      <c r="D254" s="25" t="s">
        <v>1727</v>
      </c>
      <c r="E254" s="25" t="s">
        <v>1728</v>
      </c>
      <c r="F254" s="27" t="s">
        <v>24</v>
      </c>
      <c r="G254" s="28"/>
    </row>
    <row r="255" spans="1:25" ht="12.75">
      <c r="A255" s="235"/>
      <c r="B255" s="25" t="s">
        <v>1729</v>
      </c>
      <c r="C255" s="235"/>
      <c r="D255" s="57" t="s">
        <v>1730</v>
      </c>
      <c r="E255" s="25" t="s">
        <v>1731</v>
      </c>
      <c r="F255" s="27" t="s">
        <v>24</v>
      </c>
      <c r="G255" s="28"/>
    </row>
    <row r="256" spans="1:25" ht="38.25">
      <c r="A256" s="235"/>
      <c r="B256" s="25" t="s">
        <v>1732</v>
      </c>
      <c r="C256" s="235"/>
      <c r="D256" s="25" t="s">
        <v>1733</v>
      </c>
      <c r="E256" s="25" t="s">
        <v>1734</v>
      </c>
      <c r="F256" s="27" t="s">
        <v>24</v>
      </c>
      <c r="G256" s="28"/>
    </row>
    <row r="257" spans="1:7" ht="63.75">
      <c r="A257" s="234"/>
      <c r="B257" s="25" t="s">
        <v>1735</v>
      </c>
      <c r="C257" s="234"/>
      <c r="D257" s="90" t="s">
        <v>1736</v>
      </c>
      <c r="E257" s="25" t="s">
        <v>1737</v>
      </c>
      <c r="F257" s="27" t="s">
        <v>24</v>
      </c>
      <c r="G257" s="28"/>
    </row>
    <row r="258" spans="1:7" ht="12.75">
      <c r="A258" s="236" t="s">
        <v>2151</v>
      </c>
      <c r="B258" s="237"/>
      <c r="C258" s="237"/>
      <c r="D258" s="237"/>
      <c r="E258" s="237"/>
      <c r="F258" s="237"/>
      <c r="G258" s="238"/>
    </row>
    <row r="259" spans="1:7" ht="76.5">
      <c r="A259" s="51"/>
      <c r="B259" s="52" t="s">
        <v>609</v>
      </c>
      <c r="C259" s="52" t="s">
        <v>610</v>
      </c>
      <c r="D259" s="52" t="s">
        <v>611</v>
      </c>
      <c r="E259" s="52" t="s">
        <v>612</v>
      </c>
      <c r="F259" s="27" t="s">
        <v>24</v>
      </c>
      <c r="G259" s="53" t="s">
        <v>2152</v>
      </c>
    </row>
    <row r="260" spans="1:7" ht="76.5">
      <c r="A260" s="51"/>
      <c r="B260" s="52" t="s">
        <v>613</v>
      </c>
      <c r="C260" s="52" t="s">
        <v>614</v>
      </c>
      <c r="D260" s="52" t="s">
        <v>320</v>
      </c>
      <c r="E260" s="52" t="s">
        <v>615</v>
      </c>
      <c r="F260" s="27" t="s">
        <v>24</v>
      </c>
      <c r="G260" s="53" t="s">
        <v>2153</v>
      </c>
    </row>
    <row r="261" spans="1:7" ht="153">
      <c r="A261" s="51"/>
      <c r="B261" s="52" t="s">
        <v>617</v>
      </c>
      <c r="C261" s="52" t="s">
        <v>618</v>
      </c>
      <c r="D261" s="52" t="s">
        <v>619</v>
      </c>
      <c r="E261" s="52" t="s">
        <v>620</v>
      </c>
      <c r="F261" s="27" t="s">
        <v>24</v>
      </c>
      <c r="G261" s="53" t="s">
        <v>2154</v>
      </c>
    </row>
    <row r="262" spans="1:7" ht="102">
      <c r="A262" s="51"/>
      <c r="B262" s="54" t="s">
        <v>621</v>
      </c>
      <c r="C262" s="52" t="s">
        <v>622</v>
      </c>
      <c r="D262" s="54" t="s">
        <v>623</v>
      </c>
      <c r="E262" s="54" t="s">
        <v>624</v>
      </c>
      <c r="F262" s="27" t="s">
        <v>24</v>
      </c>
      <c r="G262" s="199"/>
    </row>
    <row r="263" spans="1:7" ht="102">
      <c r="A263" s="51"/>
      <c r="B263" s="54" t="s">
        <v>625</v>
      </c>
      <c r="C263" s="52" t="s">
        <v>622</v>
      </c>
      <c r="D263" s="54" t="s">
        <v>626</v>
      </c>
      <c r="E263" s="54" t="s">
        <v>627</v>
      </c>
      <c r="F263" s="27" t="s">
        <v>24</v>
      </c>
      <c r="G263" s="199"/>
    </row>
    <row r="264" spans="1:7" ht="102">
      <c r="A264" s="51"/>
      <c r="B264" s="54" t="s">
        <v>628</v>
      </c>
      <c r="C264" s="52" t="s">
        <v>622</v>
      </c>
      <c r="D264" s="54" t="s">
        <v>629</v>
      </c>
      <c r="E264" s="54" t="s">
        <v>630</v>
      </c>
      <c r="F264" s="27" t="s">
        <v>24</v>
      </c>
      <c r="G264" s="199"/>
    </row>
    <row r="265" spans="1:7" ht="102">
      <c r="A265" s="51"/>
      <c r="B265" s="54" t="s">
        <v>631</v>
      </c>
      <c r="C265" s="52" t="s">
        <v>622</v>
      </c>
      <c r="D265" s="54" t="s">
        <v>632</v>
      </c>
      <c r="E265" s="54" t="s">
        <v>633</v>
      </c>
      <c r="F265" s="27" t="s">
        <v>24</v>
      </c>
      <c r="G265" s="53" t="s">
        <v>2155</v>
      </c>
    </row>
    <row r="266" spans="1:7" ht="102">
      <c r="A266" s="53"/>
      <c r="B266" s="54" t="s">
        <v>634</v>
      </c>
      <c r="C266" s="52" t="s">
        <v>622</v>
      </c>
      <c r="D266" s="54" t="s">
        <v>635</v>
      </c>
      <c r="E266" s="54" t="s">
        <v>636</v>
      </c>
      <c r="F266" s="27" t="s">
        <v>24</v>
      </c>
      <c r="G266" s="199"/>
    </row>
    <row r="267" spans="1:7" ht="102">
      <c r="A267" s="51"/>
      <c r="B267" s="54" t="s">
        <v>637</v>
      </c>
      <c r="C267" s="52" t="s">
        <v>622</v>
      </c>
      <c r="D267" s="54" t="s">
        <v>638</v>
      </c>
      <c r="E267" s="54" t="s">
        <v>639</v>
      </c>
      <c r="F267" s="27" t="s">
        <v>24</v>
      </c>
      <c r="G267" s="199"/>
    </row>
    <row r="268" spans="1:7" ht="102">
      <c r="A268" s="28"/>
      <c r="B268" s="55" t="s">
        <v>640</v>
      </c>
      <c r="C268" s="56" t="s">
        <v>622</v>
      </c>
      <c r="D268" s="55" t="s">
        <v>641</v>
      </c>
      <c r="E268" s="55" t="s">
        <v>642</v>
      </c>
      <c r="F268" s="27" t="s">
        <v>42</v>
      </c>
      <c r="G268" s="41" t="s">
        <v>2149</v>
      </c>
    </row>
    <row r="269" spans="1:7" ht="102">
      <c r="A269" s="28"/>
      <c r="B269" s="55" t="s">
        <v>643</v>
      </c>
      <c r="C269" s="56" t="s">
        <v>622</v>
      </c>
      <c r="D269" s="55" t="s">
        <v>644</v>
      </c>
      <c r="E269" s="55" t="s">
        <v>645</v>
      </c>
      <c r="F269" s="27" t="s">
        <v>42</v>
      </c>
      <c r="G269" s="41" t="s">
        <v>2149</v>
      </c>
    </row>
    <row r="270" spans="1:7" ht="102">
      <c r="A270" s="28"/>
      <c r="B270" s="55" t="s">
        <v>646</v>
      </c>
      <c r="C270" s="56" t="s">
        <v>622</v>
      </c>
      <c r="D270" s="55" t="s">
        <v>647</v>
      </c>
      <c r="E270" s="55" t="s">
        <v>648</v>
      </c>
      <c r="F270" s="27" t="s">
        <v>42</v>
      </c>
      <c r="G270" s="41" t="s">
        <v>2149</v>
      </c>
    </row>
    <row r="271" spans="1:7" ht="102">
      <c r="A271" s="28"/>
      <c r="B271" s="55" t="s">
        <v>650</v>
      </c>
      <c r="C271" s="56" t="s">
        <v>622</v>
      </c>
      <c r="D271" s="55" t="s">
        <v>651</v>
      </c>
      <c r="E271" s="55" t="s">
        <v>652</v>
      </c>
      <c r="F271" s="27" t="s">
        <v>42</v>
      </c>
      <c r="G271" s="41" t="s">
        <v>2149</v>
      </c>
    </row>
    <row r="272" spans="1:7" ht="140.25">
      <c r="A272" s="28"/>
      <c r="B272" s="56" t="s">
        <v>654</v>
      </c>
      <c r="C272" s="56" t="s">
        <v>655</v>
      </c>
      <c r="D272" s="56" t="s">
        <v>656</v>
      </c>
      <c r="E272" s="56" t="s">
        <v>657</v>
      </c>
      <c r="F272" s="27" t="s">
        <v>42</v>
      </c>
      <c r="G272" s="41" t="s">
        <v>2149</v>
      </c>
    </row>
    <row r="273" spans="1:7" ht="165.75">
      <c r="A273" s="28"/>
      <c r="B273" s="55" t="s">
        <v>658</v>
      </c>
      <c r="C273" s="56" t="s">
        <v>659</v>
      </c>
      <c r="D273" s="55" t="s">
        <v>660</v>
      </c>
      <c r="E273" s="55" t="s">
        <v>661</v>
      </c>
      <c r="F273" s="27" t="s">
        <v>42</v>
      </c>
      <c r="G273" s="41" t="s">
        <v>2149</v>
      </c>
    </row>
    <row r="274" spans="1:7" ht="63.75">
      <c r="A274" s="28"/>
      <c r="B274" s="56" t="s">
        <v>662</v>
      </c>
      <c r="C274" s="56" t="s">
        <v>663</v>
      </c>
      <c r="D274" s="56" t="s">
        <v>664</v>
      </c>
      <c r="E274" s="56" t="s">
        <v>665</v>
      </c>
      <c r="F274" s="27" t="s">
        <v>24</v>
      </c>
      <c r="G274" s="36" t="s">
        <v>2156</v>
      </c>
    </row>
    <row r="275" spans="1:7" ht="76.5">
      <c r="A275" s="28"/>
      <c r="B275" s="56" t="s">
        <v>666</v>
      </c>
      <c r="C275" s="56" t="s">
        <v>667</v>
      </c>
      <c r="D275" s="56" t="s">
        <v>668</v>
      </c>
      <c r="E275" s="56" t="s">
        <v>669</v>
      </c>
      <c r="F275" s="27" t="s">
        <v>42</v>
      </c>
      <c r="G275" s="57" t="s">
        <v>2157</v>
      </c>
    </row>
    <row r="276" spans="1:7" ht="76.5">
      <c r="A276" s="28"/>
      <c r="B276" s="56" t="s">
        <v>670</v>
      </c>
      <c r="C276" s="56" t="s">
        <v>667</v>
      </c>
      <c r="D276" s="56" t="s">
        <v>671</v>
      </c>
      <c r="E276" s="56" t="s">
        <v>672</v>
      </c>
      <c r="F276" s="27" t="s">
        <v>42</v>
      </c>
      <c r="G276" s="57" t="s">
        <v>2157</v>
      </c>
    </row>
    <row r="277" spans="1:7" ht="76.5">
      <c r="A277" s="28"/>
      <c r="B277" s="56" t="s">
        <v>673</v>
      </c>
      <c r="C277" s="56" t="s">
        <v>667</v>
      </c>
      <c r="D277" s="56" t="s">
        <v>674</v>
      </c>
      <c r="E277" s="56" t="s">
        <v>675</v>
      </c>
      <c r="F277" s="27" t="s">
        <v>42</v>
      </c>
      <c r="G277" s="57" t="s">
        <v>2157</v>
      </c>
    </row>
    <row r="278" spans="1:7" ht="76.5">
      <c r="A278" s="28"/>
      <c r="B278" s="56" t="s">
        <v>676</v>
      </c>
      <c r="C278" s="56" t="s">
        <v>667</v>
      </c>
      <c r="D278" s="56" t="s">
        <v>677</v>
      </c>
      <c r="E278" s="56" t="s">
        <v>678</v>
      </c>
      <c r="F278" s="27" t="s">
        <v>42</v>
      </c>
      <c r="G278" s="57" t="s">
        <v>2157</v>
      </c>
    </row>
    <row r="279" spans="1:7" ht="76.5">
      <c r="A279" s="28"/>
      <c r="B279" s="56" t="s">
        <v>679</v>
      </c>
      <c r="C279" s="56" t="s">
        <v>667</v>
      </c>
      <c r="D279" s="56" t="s">
        <v>680</v>
      </c>
      <c r="E279" s="56" t="s">
        <v>681</v>
      </c>
      <c r="F279" s="27" t="s">
        <v>42</v>
      </c>
      <c r="G279" s="57" t="s">
        <v>2157</v>
      </c>
    </row>
    <row r="280" spans="1:7" ht="76.5">
      <c r="A280" s="28"/>
      <c r="B280" s="56" t="s">
        <v>682</v>
      </c>
      <c r="C280" s="56" t="s">
        <v>667</v>
      </c>
      <c r="D280" s="56" t="s">
        <v>683</v>
      </c>
      <c r="E280" s="56" t="s">
        <v>684</v>
      </c>
      <c r="F280" s="27" t="s">
        <v>42</v>
      </c>
      <c r="G280" s="57" t="s">
        <v>2157</v>
      </c>
    </row>
    <row r="281" spans="1:7" ht="76.5">
      <c r="A281" s="28"/>
      <c r="B281" s="56" t="s">
        <v>685</v>
      </c>
      <c r="C281" s="56" t="s">
        <v>667</v>
      </c>
      <c r="D281" s="56" t="s">
        <v>686</v>
      </c>
      <c r="E281" s="56" t="s">
        <v>687</v>
      </c>
      <c r="F281" s="27" t="s">
        <v>42</v>
      </c>
      <c r="G281" s="57" t="s">
        <v>2157</v>
      </c>
    </row>
    <row r="282" spans="1:7" ht="102">
      <c r="A282" s="28"/>
      <c r="B282" s="56" t="s">
        <v>688</v>
      </c>
      <c r="C282" s="56" t="s">
        <v>689</v>
      </c>
      <c r="D282" s="56" t="s">
        <v>690</v>
      </c>
      <c r="E282" s="56" t="s">
        <v>691</v>
      </c>
      <c r="F282" s="27" t="s">
        <v>42</v>
      </c>
      <c r="G282" s="57" t="s">
        <v>2157</v>
      </c>
    </row>
    <row r="283" spans="1:7" ht="102">
      <c r="A283" s="28"/>
      <c r="B283" s="56" t="s">
        <v>692</v>
      </c>
      <c r="C283" s="56" t="s">
        <v>693</v>
      </c>
      <c r="D283" s="56" t="s">
        <v>694</v>
      </c>
      <c r="E283" s="56" t="s">
        <v>695</v>
      </c>
      <c r="F283" s="27" t="s">
        <v>42</v>
      </c>
      <c r="G283" s="57" t="s">
        <v>2157</v>
      </c>
    </row>
    <row r="284" spans="1:7" ht="12.75">
      <c r="A284" s="28"/>
      <c r="B284" s="55" t="s">
        <v>696</v>
      </c>
      <c r="C284" s="55" t="s">
        <v>697</v>
      </c>
      <c r="D284" s="55" t="s">
        <v>698</v>
      </c>
      <c r="E284" s="55" t="s">
        <v>699</v>
      </c>
      <c r="F284" s="27" t="s">
        <v>42</v>
      </c>
      <c r="G284" s="57" t="s">
        <v>2157</v>
      </c>
    </row>
    <row r="285" spans="1:7" ht="12.75">
      <c r="A285" s="28"/>
      <c r="B285" s="55" t="s">
        <v>700</v>
      </c>
      <c r="C285" s="55" t="s">
        <v>729</v>
      </c>
      <c r="D285" s="55" t="s">
        <v>701</v>
      </c>
      <c r="E285" s="55" t="s">
        <v>702</v>
      </c>
      <c r="F285" s="27" t="s">
        <v>42</v>
      </c>
      <c r="G285" s="57" t="s">
        <v>2157</v>
      </c>
    </row>
    <row r="286" spans="1:7" ht="12.75">
      <c r="A286" s="28"/>
      <c r="B286" s="55" t="s">
        <v>703</v>
      </c>
      <c r="C286" s="55" t="s">
        <v>704</v>
      </c>
      <c r="D286" s="55" t="s">
        <v>705</v>
      </c>
      <c r="E286" s="55" t="s">
        <v>706</v>
      </c>
      <c r="F286" s="27" t="s">
        <v>42</v>
      </c>
      <c r="G286" s="57" t="s">
        <v>2157</v>
      </c>
    </row>
    <row r="287" spans="1:7" ht="12.75">
      <c r="A287" s="28"/>
      <c r="B287" s="55" t="s">
        <v>707</v>
      </c>
      <c r="C287" s="55" t="s">
        <v>704</v>
      </c>
      <c r="D287" s="55" t="s">
        <v>708</v>
      </c>
      <c r="E287" s="55" t="s">
        <v>709</v>
      </c>
      <c r="F287" s="27" t="s">
        <v>42</v>
      </c>
      <c r="G287" s="57" t="s">
        <v>2157</v>
      </c>
    </row>
    <row r="288" spans="1:7" ht="12.75">
      <c r="A288" s="28"/>
      <c r="B288" s="55" t="s">
        <v>710</v>
      </c>
      <c r="C288" s="55" t="s">
        <v>711</v>
      </c>
      <c r="D288" s="55" t="s">
        <v>712</v>
      </c>
      <c r="E288" s="55" t="s">
        <v>713</v>
      </c>
      <c r="F288" s="27" t="s">
        <v>42</v>
      </c>
      <c r="G288" s="57" t="s">
        <v>2157</v>
      </c>
    </row>
    <row r="289" spans="1:7" ht="12.75">
      <c r="A289" s="28"/>
      <c r="B289" s="55" t="s">
        <v>714</v>
      </c>
      <c r="C289" s="55" t="s">
        <v>704</v>
      </c>
      <c r="D289" s="55" t="s">
        <v>715</v>
      </c>
      <c r="E289" s="55" t="s">
        <v>716</v>
      </c>
      <c r="F289" s="27" t="s">
        <v>42</v>
      </c>
      <c r="G289" s="57" t="s">
        <v>2157</v>
      </c>
    </row>
    <row r="290" spans="1:7" ht="114.75">
      <c r="A290" s="28"/>
      <c r="B290" s="56" t="s">
        <v>717</v>
      </c>
      <c r="C290" s="56" t="s">
        <v>718</v>
      </c>
      <c r="D290" s="56" t="s">
        <v>719</v>
      </c>
      <c r="E290" s="56" t="s">
        <v>720</v>
      </c>
      <c r="F290" s="27" t="s">
        <v>42</v>
      </c>
      <c r="G290" s="57" t="s">
        <v>2157</v>
      </c>
    </row>
    <row r="291" spans="1:7" ht="127.5">
      <c r="A291" s="28"/>
      <c r="B291" s="56" t="s">
        <v>721</v>
      </c>
      <c r="C291" s="56" t="s">
        <v>722</v>
      </c>
      <c r="D291" s="56" t="s">
        <v>723</v>
      </c>
      <c r="E291" s="56" t="s">
        <v>724</v>
      </c>
      <c r="F291" s="27" t="s">
        <v>42</v>
      </c>
      <c r="G291" s="57" t="s">
        <v>2157</v>
      </c>
    </row>
    <row r="292" spans="1:7" ht="127.5">
      <c r="A292" s="28"/>
      <c r="B292" s="56" t="s">
        <v>725</v>
      </c>
      <c r="C292" s="56" t="s">
        <v>722</v>
      </c>
      <c r="D292" s="56" t="s">
        <v>726</v>
      </c>
      <c r="E292" s="56" t="s">
        <v>727</v>
      </c>
      <c r="F292" s="27" t="s">
        <v>42</v>
      </c>
      <c r="G292" s="57" t="s">
        <v>2157</v>
      </c>
    </row>
    <row r="293" spans="1:7" ht="12.75">
      <c r="A293" s="28"/>
      <c r="B293" s="55" t="s">
        <v>728</v>
      </c>
      <c r="C293" s="55" t="s">
        <v>729</v>
      </c>
      <c r="D293" s="55" t="s">
        <v>730</v>
      </c>
      <c r="E293" s="55" t="s">
        <v>731</v>
      </c>
      <c r="F293" s="27" t="s">
        <v>42</v>
      </c>
      <c r="G293" s="57" t="s">
        <v>2157</v>
      </c>
    </row>
    <row r="294" spans="1:7" ht="89.25">
      <c r="A294" s="28"/>
      <c r="B294" s="55" t="s">
        <v>732</v>
      </c>
      <c r="C294" s="56" t="s">
        <v>729</v>
      </c>
      <c r="D294" s="56" t="s">
        <v>730</v>
      </c>
      <c r="E294" s="56" t="s">
        <v>733</v>
      </c>
      <c r="F294" s="27" t="s">
        <v>42</v>
      </c>
      <c r="G294" s="57" t="s">
        <v>2157</v>
      </c>
    </row>
    <row r="295" spans="1:7" ht="127.5">
      <c r="A295" s="28"/>
      <c r="B295" s="56" t="s">
        <v>734</v>
      </c>
      <c r="C295" s="56" t="s">
        <v>729</v>
      </c>
      <c r="D295" s="56" t="s">
        <v>735</v>
      </c>
      <c r="E295" s="56" t="s">
        <v>736</v>
      </c>
      <c r="F295" s="27" t="s">
        <v>42</v>
      </c>
      <c r="G295" s="57" t="s">
        <v>2157</v>
      </c>
    </row>
    <row r="296" spans="1:7" ht="38.25">
      <c r="A296" s="28"/>
      <c r="B296" s="56" t="s">
        <v>737</v>
      </c>
      <c r="C296" s="56" t="s">
        <v>738</v>
      </c>
      <c r="D296" s="56" t="s">
        <v>739</v>
      </c>
      <c r="E296" s="56" t="s">
        <v>740</v>
      </c>
      <c r="F296" s="27" t="s">
        <v>42</v>
      </c>
      <c r="G296" s="57" t="s">
        <v>2157</v>
      </c>
    </row>
    <row r="297" spans="1:7" ht="76.5">
      <c r="A297" s="28"/>
      <c r="B297" s="56" t="s">
        <v>741</v>
      </c>
      <c r="C297" s="56" t="s">
        <v>742</v>
      </c>
      <c r="D297" s="56" t="s">
        <v>743</v>
      </c>
      <c r="E297" s="56" t="s">
        <v>744</v>
      </c>
      <c r="F297" s="27" t="s">
        <v>42</v>
      </c>
      <c r="G297" s="57" t="s">
        <v>2157</v>
      </c>
    </row>
    <row r="298" spans="1:7" ht="12.75">
      <c r="A298" s="236" t="s">
        <v>2158</v>
      </c>
      <c r="B298" s="237"/>
      <c r="C298" s="237"/>
      <c r="D298" s="237"/>
      <c r="E298" s="237"/>
      <c r="F298" s="237"/>
      <c r="G298" s="238"/>
    </row>
    <row r="299" spans="1:7" ht="114.75">
      <c r="A299" s="28"/>
      <c r="B299" s="43" t="s">
        <v>745</v>
      </c>
      <c r="C299" s="43" t="s">
        <v>746</v>
      </c>
      <c r="D299" s="43" t="s">
        <v>747</v>
      </c>
      <c r="E299" s="43" t="s">
        <v>748</v>
      </c>
      <c r="F299" s="27" t="s">
        <v>42</v>
      </c>
      <c r="G299" s="28"/>
    </row>
    <row r="300" spans="1:7" ht="51">
      <c r="A300" s="28"/>
      <c r="B300" s="43" t="s">
        <v>749</v>
      </c>
      <c r="C300" s="43" t="s">
        <v>750</v>
      </c>
      <c r="D300" s="43" t="s">
        <v>751</v>
      </c>
      <c r="E300" s="43" t="s">
        <v>752</v>
      </c>
      <c r="F300" s="27" t="s">
        <v>42</v>
      </c>
      <c r="G300" s="28"/>
    </row>
    <row r="301" spans="1:7" ht="102">
      <c r="A301" s="28"/>
      <c r="B301" s="43" t="s">
        <v>753</v>
      </c>
      <c r="C301" s="43" t="s">
        <v>750</v>
      </c>
      <c r="D301" s="43" t="s">
        <v>754</v>
      </c>
      <c r="E301" s="43" t="s">
        <v>755</v>
      </c>
      <c r="F301" s="27" t="s">
        <v>42</v>
      </c>
      <c r="G301" s="28"/>
    </row>
    <row r="302" spans="1:7" ht="140.25">
      <c r="A302" s="28"/>
      <c r="B302" s="43" t="s">
        <v>756</v>
      </c>
      <c r="C302" s="43" t="s">
        <v>750</v>
      </c>
      <c r="D302" s="43" t="s">
        <v>757</v>
      </c>
      <c r="E302" s="43" t="s">
        <v>758</v>
      </c>
      <c r="F302" s="27" t="s">
        <v>42</v>
      </c>
      <c r="G302" s="28"/>
    </row>
    <row r="303" spans="1:7" ht="76.5">
      <c r="A303" s="28"/>
      <c r="B303" s="43" t="s">
        <v>759</v>
      </c>
      <c r="C303" s="43" t="s">
        <v>760</v>
      </c>
      <c r="D303" s="43" t="s">
        <v>761</v>
      </c>
      <c r="E303" s="43" t="s">
        <v>762</v>
      </c>
      <c r="F303" s="27" t="s">
        <v>42</v>
      </c>
      <c r="G303" s="28"/>
    </row>
    <row r="304" spans="1:7" ht="76.5">
      <c r="A304" s="28"/>
      <c r="B304" s="43" t="s">
        <v>763</v>
      </c>
      <c r="C304" s="43" t="s">
        <v>760</v>
      </c>
      <c r="D304" s="43" t="s">
        <v>764</v>
      </c>
      <c r="E304" s="43" t="s">
        <v>765</v>
      </c>
      <c r="F304" s="27" t="s">
        <v>42</v>
      </c>
      <c r="G304" s="28"/>
    </row>
    <row r="305" spans="1:7" ht="76.5">
      <c r="A305" s="28"/>
      <c r="B305" s="43" t="s">
        <v>766</v>
      </c>
      <c r="C305" s="43" t="s">
        <v>760</v>
      </c>
      <c r="D305" s="43" t="s">
        <v>767</v>
      </c>
      <c r="E305" s="43" t="s">
        <v>768</v>
      </c>
      <c r="F305" s="27" t="s">
        <v>42</v>
      </c>
      <c r="G305" s="28"/>
    </row>
    <row r="306" spans="1:7" ht="102">
      <c r="A306" s="28"/>
      <c r="B306" s="43" t="s">
        <v>769</v>
      </c>
      <c r="C306" s="43" t="s">
        <v>770</v>
      </c>
      <c r="D306" s="43" t="s">
        <v>771</v>
      </c>
      <c r="E306" s="43" t="s">
        <v>772</v>
      </c>
      <c r="F306" s="27" t="s">
        <v>42</v>
      </c>
      <c r="G306" s="28"/>
    </row>
    <row r="307" spans="1:7" ht="127.5">
      <c r="A307" s="28"/>
      <c r="B307" s="43" t="s">
        <v>773</v>
      </c>
      <c r="C307" s="43" t="s">
        <v>774</v>
      </c>
      <c r="D307" s="43" t="s">
        <v>775</v>
      </c>
      <c r="E307" s="43" t="s">
        <v>776</v>
      </c>
      <c r="F307" s="27" t="s">
        <v>42</v>
      </c>
      <c r="G307" s="28"/>
    </row>
    <row r="308" spans="1:7" ht="76.5">
      <c r="A308" s="28"/>
      <c r="B308" s="43" t="s">
        <v>777</v>
      </c>
      <c r="C308" s="43" t="s">
        <v>760</v>
      </c>
      <c r="D308" s="43" t="s">
        <v>778</v>
      </c>
      <c r="E308" s="43" t="s">
        <v>779</v>
      </c>
      <c r="F308" s="27" t="s">
        <v>42</v>
      </c>
      <c r="G308" s="28"/>
    </row>
    <row r="309" spans="1:7" ht="127.5">
      <c r="A309" s="28"/>
      <c r="B309" s="43" t="s">
        <v>780</v>
      </c>
      <c r="C309" s="43" t="s">
        <v>2055</v>
      </c>
      <c r="D309" s="43" t="s">
        <v>2056</v>
      </c>
      <c r="E309" s="43" t="s">
        <v>781</v>
      </c>
      <c r="F309" s="27" t="s">
        <v>42</v>
      </c>
      <c r="G309" s="28"/>
    </row>
    <row r="310" spans="1:7" ht="76.5">
      <c r="A310" s="28"/>
      <c r="B310" s="43" t="s">
        <v>782</v>
      </c>
      <c r="C310" s="43" t="s">
        <v>760</v>
      </c>
      <c r="D310" s="43" t="s">
        <v>783</v>
      </c>
      <c r="E310" s="43" t="s">
        <v>2057</v>
      </c>
      <c r="F310" s="27" t="s">
        <v>42</v>
      </c>
      <c r="G310" s="28"/>
    </row>
    <row r="311" spans="1:7" ht="102">
      <c r="A311" s="28"/>
      <c r="B311" s="43" t="s">
        <v>784</v>
      </c>
      <c r="C311" s="43" t="s">
        <v>785</v>
      </c>
      <c r="D311" s="43" t="s">
        <v>2058</v>
      </c>
      <c r="E311" s="43" t="s">
        <v>2059</v>
      </c>
      <c r="F311" s="27" t="s">
        <v>42</v>
      </c>
      <c r="G311" s="28"/>
    </row>
    <row r="312" spans="1:7" ht="76.5">
      <c r="A312" s="28"/>
      <c r="B312" s="43" t="s">
        <v>786</v>
      </c>
      <c r="C312" s="43" t="s">
        <v>760</v>
      </c>
      <c r="D312" s="43" t="s">
        <v>2060</v>
      </c>
      <c r="E312" s="43" t="s">
        <v>2061</v>
      </c>
      <c r="F312" s="27" t="s">
        <v>42</v>
      </c>
      <c r="G312" s="28"/>
    </row>
    <row r="313" spans="1:7" ht="114.75">
      <c r="A313" s="28"/>
      <c r="B313" s="43" t="s">
        <v>2062</v>
      </c>
      <c r="C313" s="43" t="s">
        <v>760</v>
      </c>
      <c r="D313" s="43" t="s">
        <v>2063</v>
      </c>
      <c r="E313" s="43" t="s">
        <v>2064</v>
      </c>
      <c r="F313" s="27" t="s">
        <v>42</v>
      </c>
      <c r="G313" s="28"/>
    </row>
    <row r="314" spans="1:7" ht="153">
      <c r="A314" s="28"/>
      <c r="B314" s="43" t="s">
        <v>646</v>
      </c>
      <c r="C314" s="43" t="s">
        <v>2065</v>
      </c>
      <c r="D314" s="43" t="s">
        <v>2066</v>
      </c>
      <c r="E314" s="43" t="s">
        <v>2067</v>
      </c>
      <c r="F314" s="27" t="s">
        <v>42</v>
      </c>
      <c r="G314" s="28"/>
    </row>
    <row r="315" spans="1:7" ht="51">
      <c r="A315" s="28"/>
      <c r="B315" s="43" t="s">
        <v>2068</v>
      </c>
      <c r="C315" s="43" t="s">
        <v>750</v>
      </c>
      <c r="D315" s="43" t="s">
        <v>2069</v>
      </c>
      <c r="E315" s="43" t="s">
        <v>2070</v>
      </c>
      <c r="F315" s="27" t="s">
        <v>42</v>
      </c>
      <c r="G315" s="28"/>
    </row>
    <row r="316" spans="1:7" ht="51">
      <c r="A316" s="28"/>
      <c r="B316" s="43" t="s">
        <v>2071</v>
      </c>
      <c r="C316" s="43" t="s">
        <v>750</v>
      </c>
      <c r="D316" s="43" t="s">
        <v>2072</v>
      </c>
      <c r="E316" s="43" t="s">
        <v>2073</v>
      </c>
      <c r="F316" s="27" t="s">
        <v>42</v>
      </c>
      <c r="G316" s="28"/>
    </row>
    <row r="317" spans="1:7" ht="51">
      <c r="A317" s="28"/>
      <c r="B317" s="43" t="s">
        <v>2074</v>
      </c>
      <c r="C317" s="43" t="s">
        <v>750</v>
      </c>
      <c r="D317" s="43" t="s">
        <v>2075</v>
      </c>
      <c r="E317" s="43" t="s">
        <v>2076</v>
      </c>
      <c r="F317" s="27" t="s">
        <v>42</v>
      </c>
      <c r="G317" s="28"/>
    </row>
    <row r="318" spans="1:7" ht="76.5">
      <c r="A318" s="28"/>
      <c r="B318" s="43" t="s">
        <v>2077</v>
      </c>
      <c r="C318" s="43" t="s">
        <v>750</v>
      </c>
      <c r="D318" s="43" t="s">
        <v>2078</v>
      </c>
      <c r="E318" s="43" t="s">
        <v>2079</v>
      </c>
      <c r="F318" s="27" t="s">
        <v>42</v>
      </c>
      <c r="G318" s="28"/>
    </row>
    <row r="319" spans="1:7" ht="63.75">
      <c r="A319" s="28"/>
      <c r="B319" s="43" t="s">
        <v>2080</v>
      </c>
      <c r="C319" s="43" t="s">
        <v>750</v>
      </c>
      <c r="D319" s="43" t="s">
        <v>2081</v>
      </c>
      <c r="E319" s="43" t="s">
        <v>2082</v>
      </c>
      <c r="F319" s="27" t="s">
        <v>42</v>
      </c>
      <c r="G319" s="28"/>
    </row>
    <row r="320" spans="1:7" ht="114.75">
      <c r="A320" s="28"/>
      <c r="B320" s="43" t="s">
        <v>658</v>
      </c>
      <c r="C320" s="43" t="s">
        <v>750</v>
      </c>
      <c r="D320" s="43" t="s">
        <v>2083</v>
      </c>
      <c r="E320" s="43" t="s">
        <v>2084</v>
      </c>
      <c r="F320" s="27" t="s">
        <v>42</v>
      </c>
      <c r="G320" s="28"/>
    </row>
    <row r="321" spans="1:7" ht="51">
      <c r="A321" s="28"/>
      <c r="B321" s="43" t="s">
        <v>749</v>
      </c>
      <c r="C321" s="43" t="s">
        <v>750</v>
      </c>
      <c r="D321" s="43" t="s">
        <v>751</v>
      </c>
      <c r="E321" s="43" t="s">
        <v>752</v>
      </c>
      <c r="F321" s="27" t="s">
        <v>42</v>
      </c>
      <c r="G321" s="28"/>
    </row>
    <row r="322" spans="1:7" ht="102">
      <c r="A322" s="28"/>
      <c r="B322" s="43" t="s">
        <v>753</v>
      </c>
      <c r="C322" s="43" t="s">
        <v>750</v>
      </c>
      <c r="D322" s="43" t="s">
        <v>754</v>
      </c>
      <c r="E322" s="43" t="s">
        <v>755</v>
      </c>
      <c r="F322" s="27" t="s">
        <v>42</v>
      </c>
      <c r="G322" s="28"/>
    </row>
    <row r="323" spans="1:7" ht="140.25">
      <c r="A323" s="28"/>
      <c r="B323" s="43" t="s">
        <v>756</v>
      </c>
      <c r="C323" s="43" t="s">
        <v>750</v>
      </c>
      <c r="D323" s="43" t="s">
        <v>757</v>
      </c>
      <c r="E323" s="43" t="s">
        <v>758</v>
      </c>
      <c r="F323" s="27" t="s">
        <v>42</v>
      </c>
      <c r="G323" s="28"/>
    </row>
    <row r="324" spans="1:7" ht="51">
      <c r="A324" s="28"/>
      <c r="B324" s="43" t="s">
        <v>2085</v>
      </c>
      <c r="C324" s="43" t="s">
        <v>750</v>
      </c>
      <c r="D324" s="43" t="s">
        <v>2086</v>
      </c>
      <c r="E324" s="43" t="s">
        <v>2087</v>
      </c>
      <c r="F324" s="27" t="s">
        <v>42</v>
      </c>
      <c r="G324" s="28"/>
    </row>
    <row r="325" spans="1:7" ht="51">
      <c r="A325" s="28"/>
      <c r="B325" s="43" t="s">
        <v>2088</v>
      </c>
      <c r="C325" s="43" t="s">
        <v>750</v>
      </c>
      <c r="D325" s="43" t="s">
        <v>2089</v>
      </c>
      <c r="E325" s="43" t="s">
        <v>2090</v>
      </c>
      <c r="F325" s="27" t="s">
        <v>42</v>
      </c>
      <c r="G325" s="28"/>
    </row>
  </sheetData>
  <mergeCells count="79">
    <mergeCell ref="A95:G95"/>
    <mergeCell ref="A105:G105"/>
    <mergeCell ref="G112:G113"/>
    <mergeCell ref="G114:G118"/>
    <mergeCell ref="G53:G63"/>
    <mergeCell ref="G64:G67"/>
    <mergeCell ref="A68:G68"/>
    <mergeCell ref="C53:C63"/>
    <mergeCell ref="C64:C67"/>
    <mergeCell ref="G42:G44"/>
    <mergeCell ref="A45:A49"/>
    <mergeCell ref="C45:C49"/>
    <mergeCell ref="G45:G49"/>
    <mergeCell ref="G50:G52"/>
    <mergeCell ref="A1:D1"/>
    <mergeCell ref="F1:I1"/>
    <mergeCell ref="D3:D7"/>
    <mergeCell ref="I3:I7"/>
    <mergeCell ref="A10:G10"/>
    <mergeCell ref="A258:G258"/>
    <mergeCell ref="A298:G298"/>
    <mergeCell ref="A208:A213"/>
    <mergeCell ref="A214:A216"/>
    <mergeCell ref="C214:C216"/>
    <mergeCell ref="A218:A226"/>
    <mergeCell ref="C218:C226"/>
    <mergeCell ref="A227:G227"/>
    <mergeCell ref="C229:C235"/>
    <mergeCell ref="C246:C247"/>
    <mergeCell ref="A243:G243"/>
    <mergeCell ref="A248:G248"/>
    <mergeCell ref="A253:G253"/>
    <mergeCell ref="A254:A257"/>
    <mergeCell ref="C254:C257"/>
    <mergeCell ref="A207:G207"/>
    <mergeCell ref="C208:C213"/>
    <mergeCell ref="D210:D211"/>
    <mergeCell ref="A229:A235"/>
    <mergeCell ref="A236:A241"/>
    <mergeCell ref="C236:C242"/>
    <mergeCell ref="A158:G158"/>
    <mergeCell ref="A186:D186"/>
    <mergeCell ref="D188:D192"/>
    <mergeCell ref="A195:G195"/>
    <mergeCell ref="A196:A206"/>
    <mergeCell ref="C196:C206"/>
    <mergeCell ref="G120:G121"/>
    <mergeCell ref="G122:G140"/>
    <mergeCell ref="G141:G148"/>
    <mergeCell ref="G149:G150"/>
    <mergeCell ref="G152:G157"/>
    <mergeCell ref="A97:A102"/>
    <mergeCell ref="A11:A15"/>
    <mergeCell ref="A18:A19"/>
    <mergeCell ref="C18:C19"/>
    <mergeCell ref="A20:A22"/>
    <mergeCell ref="A24:A34"/>
    <mergeCell ref="A35:A39"/>
    <mergeCell ref="A50:A67"/>
    <mergeCell ref="C11:C15"/>
    <mergeCell ref="A16:G16"/>
    <mergeCell ref="A23:G23"/>
    <mergeCell ref="G24:G29"/>
    <mergeCell ref="G30:G34"/>
    <mergeCell ref="C24:C34"/>
    <mergeCell ref="C35:C39"/>
    <mergeCell ref="A40:A41"/>
    <mergeCell ref="C20:C22"/>
    <mergeCell ref="C50:C52"/>
    <mergeCell ref="A76:A77"/>
    <mergeCell ref="A79:A81"/>
    <mergeCell ref="A86:A90"/>
    <mergeCell ref="C40:C41"/>
    <mergeCell ref="A42:A44"/>
    <mergeCell ref="C42:C44"/>
    <mergeCell ref="C71:C73"/>
    <mergeCell ref="A69:A70"/>
    <mergeCell ref="A72:A73"/>
    <mergeCell ref="A82:G82"/>
  </mergeCells>
  <dataValidations count="2">
    <dataValidation type="list" allowBlank="1" showErrorMessage="1" sqref="F196:F206 F208:F226 F228:F242 F244:F247 F249:F252 F254:F257 F259:F297 F299:F325" xr:uid="{00000000-0002-0000-1800-000000000000}">
      <formula1>"PASSED,FAILED,IN PROGRESS,NOT YET STARTED,LOCAL READY"</formula1>
    </dataValidation>
    <dataValidation type="list" allowBlank="1" showErrorMessage="1" sqref="F11:F15 F17:F22 F24:F67 F69:F81 F83:F94 F96:F104 F106:F157 F159:F182" xr:uid="{00000000-0002-0000-1800-000001000000}">
      <formula1>"PASSED,FAILED,IN PROGRESS,LOCAL READY"</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Y325"/>
  <sheetViews>
    <sheetView workbookViewId="0"/>
  </sheetViews>
  <sheetFormatPr defaultColWidth="12.5703125" defaultRowHeight="15.75" customHeight="1"/>
  <cols>
    <col min="1" max="1" width="25.7109375" customWidth="1"/>
    <col min="2" max="2" width="39" customWidth="1"/>
    <col min="3" max="3" width="28.7109375" customWidth="1"/>
    <col min="4" max="4" width="38.28515625" customWidth="1"/>
    <col min="5" max="5" width="31.42578125" customWidth="1"/>
    <col min="6" max="6" width="25.5703125" customWidth="1"/>
    <col min="7" max="7" width="32.42578125" customWidth="1"/>
    <col min="8" max="8" width="35.85546875" customWidth="1"/>
    <col min="9" max="9" width="28.42578125" customWidth="1"/>
  </cols>
  <sheetData>
    <row r="1" spans="1:9" ht="14.25">
      <c r="A1" s="240" t="s">
        <v>0</v>
      </c>
      <c r="B1" s="237"/>
      <c r="C1" s="237"/>
      <c r="D1" s="238"/>
      <c r="F1" s="249" t="s">
        <v>1</v>
      </c>
      <c r="G1" s="237"/>
      <c r="H1" s="237"/>
      <c r="I1" s="238"/>
    </row>
    <row r="2" spans="1:9" ht="15">
      <c r="A2" s="1"/>
      <c r="B2" s="2" t="s">
        <v>2</v>
      </c>
      <c r="C2" s="2" t="s">
        <v>3</v>
      </c>
      <c r="D2" s="3" t="s">
        <v>4</v>
      </c>
      <c r="F2" s="4"/>
      <c r="G2" s="5" t="s">
        <v>2</v>
      </c>
      <c r="H2" s="5" t="s">
        <v>3</v>
      </c>
      <c r="I2" s="6" t="s">
        <v>4</v>
      </c>
    </row>
    <row r="3" spans="1:9" ht="15">
      <c r="A3" s="200" t="s">
        <v>6</v>
      </c>
      <c r="B3" s="8">
        <f>COUNTIF(F11:F182, "NOT STARTED")</f>
        <v>57</v>
      </c>
      <c r="C3" s="9">
        <f>IFERROR(B3/B7,"")</f>
        <v>0.34545454545454546</v>
      </c>
      <c r="D3" s="241">
        <f>IFERROR(B5/B7,"")</f>
        <v>0.58787878787878789</v>
      </c>
      <c r="F3" s="10" t="s">
        <v>6</v>
      </c>
      <c r="G3" s="11">
        <f t="shared" ref="G3:G6" si="0">B3+B188</f>
        <v>84</v>
      </c>
      <c r="H3" s="12">
        <f>IFERROR(G3/G7,"")</f>
        <v>0.29166666666666669</v>
      </c>
      <c r="I3" s="250">
        <f>IFERROR(G5/G7,"")</f>
        <v>0.60069444444444442</v>
      </c>
    </row>
    <row r="4" spans="1:9" ht="15">
      <c r="A4" s="7" t="s">
        <v>7</v>
      </c>
      <c r="B4" s="8">
        <f>COUNTIF(F11:F104, "IN PROGRESS")</f>
        <v>0</v>
      </c>
      <c r="C4" s="9">
        <f>B4/B7</f>
        <v>0</v>
      </c>
      <c r="D4" s="242"/>
      <c r="F4" s="13" t="s">
        <v>7</v>
      </c>
      <c r="G4" s="11">
        <f t="shared" si="0"/>
        <v>0</v>
      </c>
      <c r="H4" s="12">
        <f>IFERROR(G4/G7,"")</f>
        <v>0</v>
      </c>
      <c r="I4" s="235"/>
    </row>
    <row r="5" spans="1:9" ht="15">
      <c r="A5" s="7" t="s">
        <v>8</v>
      </c>
      <c r="B5" s="8">
        <f>COUNTIF(F11:F182, "PASSED")</f>
        <v>97</v>
      </c>
      <c r="C5" s="9">
        <f>IFERROR(B5/B7,"")</f>
        <v>0.58787878787878789</v>
      </c>
      <c r="D5" s="242"/>
      <c r="F5" s="13" t="s">
        <v>8</v>
      </c>
      <c r="G5" s="11">
        <f t="shared" si="0"/>
        <v>173</v>
      </c>
      <c r="H5" s="12">
        <f>IFERROR(G5/G7,"")</f>
        <v>0.60069444444444442</v>
      </c>
      <c r="I5" s="235"/>
    </row>
    <row r="6" spans="1:9" ht="15">
      <c r="A6" s="7" t="s">
        <v>9</v>
      </c>
      <c r="B6" s="8">
        <f>COUNTIF(F11:F182, "FAILED")</f>
        <v>11</v>
      </c>
      <c r="C6" s="9">
        <f>IFERROR(B6/B7,"")</f>
        <v>6.6666666666666666E-2</v>
      </c>
      <c r="D6" s="242"/>
      <c r="F6" s="13" t="s">
        <v>9</v>
      </c>
      <c r="G6" s="11">
        <f t="shared" si="0"/>
        <v>31</v>
      </c>
      <c r="H6" s="12">
        <f>IFERROR(G6/G7,"")</f>
        <v>0.1076388888888889</v>
      </c>
      <c r="I6" s="235"/>
    </row>
    <row r="7" spans="1:9" ht="19.5">
      <c r="A7" s="14" t="s">
        <v>10</v>
      </c>
      <c r="B7" s="14">
        <f t="shared" ref="B7:C7" si="1">SUM(B3:B6)</f>
        <v>165</v>
      </c>
      <c r="C7" s="15">
        <f t="shared" si="1"/>
        <v>1</v>
      </c>
      <c r="D7" s="243"/>
      <c r="F7" s="16" t="s">
        <v>10</v>
      </c>
      <c r="G7" s="16">
        <f t="shared" ref="G7:H7" si="2">SUM(G3:G6)</f>
        <v>288</v>
      </c>
      <c r="H7" s="17">
        <f t="shared" si="2"/>
        <v>1</v>
      </c>
      <c r="I7" s="234"/>
    </row>
    <row r="9" spans="1:9" ht="16.5" customHeight="1">
      <c r="A9" s="18" t="s">
        <v>11</v>
      </c>
      <c r="B9" s="18" t="s">
        <v>12</v>
      </c>
      <c r="C9" s="18" t="s">
        <v>13</v>
      </c>
      <c r="D9" s="19" t="s">
        <v>14</v>
      </c>
      <c r="E9" s="18" t="s">
        <v>15</v>
      </c>
      <c r="F9" s="20" t="s">
        <v>16</v>
      </c>
      <c r="G9" s="21" t="s">
        <v>17</v>
      </c>
    </row>
    <row r="10" spans="1:9" ht="12.75">
      <c r="A10" s="236" t="s">
        <v>18</v>
      </c>
      <c r="B10" s="237"/>
      <c r="C10" s="237"/>
      <c r="D10" s="237"/>
      <c r="E10" s="237"/>
      <c r="F10" s="237"/>
      <c r="G10" s="238"/>
    </row>
    <row r="11" spans="1:9" ht="89.25">
      <c r="A11" s="233" t="s">
        <v>19</v>
      </c>
      <c r="B11" s="23" t="s">
        <v>20</v>
      </c>
      <c r="C11" s="239" t="s">
        <v>21</v>
      </c>
      <c r="D11" s="25" t="s">
        <v>22</v>
      </c>
      <c r="E11" s="26" t="s">
        <v>23</v>
      </c>
      <c r="F11" s="27" t="s">
        <v>24</v>
      </c>
      <c r="G11" s="28"/>
    </row>
    <row r="12" spans="1:9" ht="63.75">
      <c r="A12" s="235"/>
      <c r="B12" s="23" t="s">
        <v>25</v>
      </c>
      <c r="C12" s="235"/>
      <c r="D12" s="25" t="s">
        <v>26</v>
      </c>
      <c r="E12" s="26" t="s">
        <v>27</v>
      </c>
      <c r="F12" s="27" t="s">
        <v>24</v>
      </c>
      <c r="G12" s="28"/>
    </row>
    <row r="13" spans="1:9" ht="102">
      <c r="A13" s="235"/>
      <c r="B13" s="23" t="s">
        <v>28</v>
      </c>
      <c r="C13" s="235"/>
      <c r="D13" s="25" t="s">
        <v>29</v>
      </c>
      <c r="E13" s="26"/>
      <c r="F13" s="27" t="s">
        <v>24</v>
      </c>
      <c r="G13" s="28"/>
    </row>
    <row r="14" spans="1:9" ht="63.75">
      <c r="A14" s="235"/>
      <c r="B14" s="23" t="s">
        <v>31</v>
      </c>
      <c r="C14" s="235"/>
      <c r="D14" s="25" t="s">
        <v>32</v>
      </c>
      <c r="E14" s="26" t="s">
        <v>33</v>
      </c>
      <c r="F14" s="27" t="s">
        <v>24</v>
      </c>
      <c r="G14" s="28"/>
    </row>
    <row r="15" spans="1:9" ht="38.25">
      <c r="A15" s="234"/>
      <c r="B15" s="23" t="s">
        <v>34</v>
      </c>
      <c r="C15" s="234"/>
      <c r="D15" s="25" t="s">
        <v>35</v>
      </c>
      <c r="E15" s="26" t="s">
        <v>36</v>
      </c>
      <c r="F15" s="27" t="s">
        <v>24</v>
      </c>
      <c r="G15" s="28"/>
    </row>
    <row r="16" spans="1:9" ht="12.75">
      <c r="A16" s="236" t="s">
        <v>788</v>
      </c>
      <c r="B16" s="237"/>
      <c r="C16" s="237"/>
      <c r="D16" s="237"/>
      <c r="E16" s="237"/>
      <c r="F16" s="237"/>
      <c r="G16" s="238"/>
    </row>
    <row r="17" spans="1:8" ht="63.75">
      <c r="A17" s="29" t="s">
        <v>37</v>
      </c>
      <c r="B17" s="26" t="s">
        <v>38</v>
      </c>
      <c r="C17" s="27" t="s">
        <v>39</v>
      </c>
      <c r="D17" s="26" t="s">
        <v>40</v>
      </c>
      <c r="E17" s="30" t="s">
        <v>41</v>
      </c>
      <c r="F17" s="27" t="s">
        <v>24</v>
      </c>
      <c r="G17" s="57"/>
    </row>
    <row r="18" spans="1:8" ht="63.75">
      <c r="A18" s="245" t="s">
        <v>43</v>
      </c>
      <c r="B18" s="26" t="s">
        <v>44</v>
      </c>
      <c r="C18" s="254" t="s">
        <v>45</v>
      </c>
      <c r="D18" s="26" t="s">
        <v>46</v>
      </c>
      <c r="E18" s="30" t="s">
        <v>47</v>
      </c>
      <c r="F18" s="27" t="s">
        <v>24</v>
      </c>
      <c r="G18" s="57"/>
      <c r="H18" s="32"/>
    </row>
    <row r="19" spans="1:8" ht="63.75">
      <c r="A19" s="234"/>
      <c r="B19" s="26" t="s">
        <v>48</v>
      </c>
      <c r="C19" s="234"/>
      <c r="D19" s="26" t="s">
        <v>49</v>
      </c>
      <c r="E19" s="30" t="s">
        <v>50</v>
      </c>
      <c r="F19" s="27" t="s">
        <v>24</v>
      </c>
      <c r="G19" s="57"/>
    </row>
    <row r="20" spans="1:8" ht="63.75">
      <c r="A20" s="245" t="s">
        <v>71</v>
      </c>
      <c r="B20" s="26" t="s">
        <v>72</v>
      </c>
      <c r="C20" s="254" t="s">
        <v>73</v>
      </c>
      <c r="D20" s="26" t="s">
        <v>74</v>
      </c>
      <c r="E20" s="23" t="s">
        <v>75</v>
      </c>
      <c r="F20" s="27" t="s">
        <v>24</v>
      </c>
      <c r="G20" s="28"/>
    </row>
    <row r="21" spans="1:8" ht="63.75">
      <c r="A21" s="235"/>
      <c r="B21" s="23" t="s">
        <v>789</v>
      </c>
      <c r="C21" s="235"/>
      <c r="D21" s="23" t="s">
        <v>790</v>
      </c>
      <c r="E21" s="30" t="s">
        <v>791</v>
      </c>
      <c r="F21" s="27" t="s">
        <v>24</v>
      </c>
      <c r="G21" s="28"/>
    </row>
    <row r="22" spans="1:8" ht="63.75">
      <c r="A22" s="234"/>
      <c r="B22" s="23" t="s">
        <v>76</v>
      </c>
      <c r="C22" s="234"/>
      <c r="D22" s="23" t="s">
        <v>77</v>
      </c>
      <c r="E22" s="30" t="s">
        <v>78</v>
      </c>
      <c r="F22" s="27" t="s">
        <v>24</v>
      </c>
      <c r="G22" s="28"/>
    </row>
    <row r="23" spans="1:8" ht="12.75">
      <c r="A23" s="236" t="s">
        <v>792</v>
      </c>
      <c r="B23" s="237"/>
      <c r="C23" s="237"/>
      <c r="D23" s="237"/>
      <c r="E23" s="237"/>
      <c r="F23" s="237"/>
      <c r="G23" s="238"/>
    </row>
    <row r="24" spans="1:8" ht="25.5">
      <c r="A24" s="233" t="s">
        <v>793</v>
      </c>
      <c r="B24" s="57" t="s">
        <v>794</v>
      </c>
      <c r="C24" s="239" t="s">
        <v>795</v>
      </c>
      <c r="D24" s="57" t="s">
        <v>796</v>
      </c>
      <c r="E24" s="25" t="s">
        <v>797</v>
      </c>
      <c r="F24" s="27" t="s">
        <v>24</v>
      </c>
      <c r="G24" s="246"/>
    </row>
    <row r="25" spans="1:8" ht="25.5">
      <c r="A25" s="235"/>
      <c r="B25" s="25" t="s">
        <v>798</v>
      </c>
      <c r="C25" s="235"/>
      <c r="D25" s="57" t="s">
        <v>799</v>
      </c>
      <c r="E25" s="57" t="s">
        <v>799</v>
      </c>
      <c r="F25" s="27" t="s">
        <v>24</v>
      </c>
      <c r="G25" s="235"/>
    </row>
    <row r="26" spans="1:8" ht="38.25">
      <c r="A26" s="235"/>
      <c r="B26" s="25" t="s">
        <v>801</v>
      </c>
      <c r="C26" s="235"/>
      <c r="D26" s="57" t="s">
        <v>802</v>
      </c>
      <c r="E26" s="25" t="s">
        <v>803</v>
      </c>
      <c r="F26" s="27" t="s">
        <v>24</v>
      </c>
      <c r="G26" s="235"/>
    </row>
    <row r="27" spans="1:8" ht="25.5">
      <c r="A27" s="235"/>
      <c r="B27" s="57" t="s">
        <v>804</v>
      </c>
      <c r="C27" s="235"/>
      <c r="D27" s="57" t="s">
        <v>805</v>
      </c>
      <c r="E27" s="25" t="s">
        <v>806</v>
      </c>
      <c r="F27" s="27" t="s">
        <v>24</v>
      </c>
      <c r="G27" s="235"/>
    </row>
    <row r="28" spans="1:8" ht="38.25">
      <c r="A28" s="235"/>
      <c r="B28" s="25" t="s">
        <v>807</v>
      </c>
      <c r="C28" s="235"/>
      <c r="D28" s="57" t="s">
        <v>808</v>
      </c>
      <c r="E28" s="25" t="s">
        <v>809</v>
      </c>
      <c r="F28" s="27" t="s">
        <v>24</v>
      </c>
      <c r="G28" s="235"/>
    </row>
    <row r="29" spans="1:8" ht="25.5">
      <c r="A29" s="235"/>
      <c r="B29" s="25" t="s">
        <v>810</v>
      </c>
      <c r="C29" s="235"/>
      <c r="D29" s="57" t="s">
        <v>811</v>
      </c>
      <c r="E29" s="25" t="s">
        <v>812</v>
      </c>
      <c r="F29" s="27" t="s">
        <v>24</v>
      </c>
      <c r="G29" s="234"/>
    </row>
    <row r="30" spans="1:8" ht="12.75">
      <c r="A30" s="235"/>
      <c r="B30" s="57" t="s">
        <v>813</v>
      </c>
      <c r="C30" s="235"/>
      <c r="D30" s="57" t="s">
        <v>814</v>
      </c>
      <c r="E30" s="25" t="s">
        <v>815</v>
      </c>
      <c r="F30" s="27" t="s">
        <v>24</v>
      </c>
      <c r="G30" s="253"/>
    </row>
    <row r="31" spans="1:8" ht="38.25">
      <c r="A31" s="235"/>
      <c r="B31" s="25" t="s">
        <v>816</v>
      </c>
      <c r="C31" s="235"/>
      <c r="D31" s="57" t="s">
        <v>817</v>
      </c>
      <c r="E31" s="25" t="s">
        <v>818</v>
      </c>
      <c r="F31" s="27" t="s">
        <v>24</v>
      </c>
      <c r="G31" s="235"/>
    </row>
    <row r="32" spans="1:8" ht="25.5">
      <c r="A32" s="235"/>
      <c r="B32" s="25" t="s">
        <v>819</v>
      </c>
      <c r="C32" s="235"/>
      <c r="D32" s="57" t="s">
        <v>820</v>
      </c>
      <c r="E32" s="25" t="s">
        <v>821</v>
      </c>
      <c r="F32" s="27" t="s">
        <v>24</v>
      </c>
      <c r="G32" s="235"/>
    </row>
    <row r="33" spans="1:7" ht="25.5">
      <c r="A33" s="235"/>
      <c r="B33" s="57" t="s">
        <v>822</v>
      </c>
      <c r="C33" s="235"/>
      <c r="D33" s="57" t="s">
        <v>823</v>
      </c>
      <c r="E33" s="25" t="s">
        <v>824</v>
      </c>
      <c r="F33" s="27" t="s">
        <v>24</v>
      </c>
      <c r="G33" s="235"/>
    </row>
    <row r="34" spans="1:7" ht="51">
      <c r="A34" s="234"/>
      <c r="B34" s="25" t="s">
        <v>825</v>
      </c>
      <c r="C34" s="234"/>
      <c r="D34" s="25" t="s">
        <v>826</v>
      </c>
      <c r="E34" s="25" t="s">
        <v>827</v>
      </c>
      <c r="F34" s="27" t="s">
        <v>24</v>
      </c>
      <c r="G34" s="234"/>
    </row>
    <row r="35" spans="1:7" ht="12.75">
      <c r="A35" s="233" t="s">
        <v>828</v>
      </c>
      <c r="B35" s="57" t="s">
        <v>829</v>
      </c>
      <c r="C35" s="239" t="s">
        <v>795</v>
      </c>
      <c r="D35" s="57" t="s">
        <v>830</v>
      </c>
      <c r="E35" s="25" t="s">
        <v>831</v>
      </c>
      <c r="F35" s="27" t="s">
        <v>24</v>
      </c>
      <c r="G35" s="28"/>
    </row>
    <row r="36" spans="1:7" ht="38.25">
      <c r="A36" s="235"/>
      <c r="B36" s="25" t="s">
        <v>832</v>
      </c>
      <c r="C36" s="235"/>
      <c r="D36" s="57" t="s">
        <v>833</v>
      </c>
      <c r="E36" s="25" t="s">
        <v>834</v>
      </c>
      <c r="F36" s="27" t="s">
        <v>24</v>
      </c>
      <c r="G36" s="28"/>
    </row>
    <row r="37" spans="1:7" ht="12.75">
      <c r="A37" s="235"/>
      <c r="B37" s="57" t="s">
        <v>835</v>
      </c>
      <c r="C37" s="235"/>
      <c r="D37" s="57" t="s">
        <v>836</v>
      </c>
      <c r="E37" s="25" t="s">
        <v>821</v>
      </c>
      <c r="F37" s="27" t="s">
        <v>24</v>
      </c>
      <c r="G37" s="28"/>
    </row>
    <row r="38" spans="1:7" ht="51">
      <c r="A38" s="235"/>
      <c r="B38" s="25" t="s">
        <v>837</v>
      </c>
      <c r="C38" s="235"/>
      <c r="D38" s="25" t="s">
        <v>838</v>
      </c>
      <c r="E38" s="25" t="s">
        <v>839</v>
      </c>
      <c r="F38" s="27" t="s">
        <v>42</v>
      </c>
      <c r="G38" s="41" t="s">
        <v>2097</v>
      </c>
    </row>
    <row r="39" spans="1:7" ht="12.75">
      <c r="A39" s="234"/>
      <c r="B39" s="57" t="s">
        <v>840</v>
      </c>
      <c r="C39" s="234"/>
      <c r="D39" s="57" t="s">
        <v>841</v>
      </c>
      <c r="E39" s="25" t="s">
        <v>842</v>
      </c>
      <c r="F39" s="27" t="s">
        <v>24</v>
      </c>
      <c r="G39" s="57"/>
    </row>
    <row r="40" spans="1:7" ht="25.5">
      <c r="A40" s="256" t="s">
        <v>843</v>
      </c>
      <c r="B40" s="25" t="s">
        <v>844</v>
      </c>
      <c r="C40" s="255" t="s">
        <v>845</v>
      </c>
      <c r="D40" s="63" t="s">
        <v>846</v>
      </c>
      <c r="E40" s="63" t="s">
        <v>847</v>
      </c>
      <c r="F40" s="27" t="s">
        <v>24</v>
      </c>
      <c r="G40" s="64"/>
    </row>
    <row r="41" spans="1:7" ht="38.25">
      <c r="A41" s="234"/>
      <c r="B41" s="25" t="s">
        <v>848</v>
      </c>
      <c r="C41" s="234"/>
      <c r="D41" s="63" t="s">
        <v>849</v>
      </c>
      <c r="E41" s="63" t="s">
        <v>850</v>
      </c>
      <c r="F41" s="27" t="s">
        <v>24</v>
      </c>
      <c r="G41" s="57"/>
    </row>
    <row r="42" spans="1:7" ht="25.5">
      <c r="A42" s="256" t="s">
        <v>851</v>
      </c>
      <c r="B42" s="25" t="s">
        <v>852</v>
      </c>
      <c r="C42" s="255" t="s">
        <v>845</v>
      </c>
      <c r="D42" s="63" t="s">
        <v>853</v>
      </c>
      <c r="E42" s="63" t="s">
        <v>854</v>
      </c>
      <c r="F42" s="27" t="s">
        <v>24</v>
      </c>
      <c r="G42" s="276"/>
    </row>
    <row r="43" spans="1:7" ht="25.5">
      <c r="A43" s="235"/>
      <c r="B43" s="25" t="s">
        <v>855</v>
      </c>
      <c r="C43" s="235"/>
      <c r="D43" s="63" t="s">
        <v>856</v>
      </c>
      <c r="E43" s="63" t="s">
        <v>857</v>
      </c>
      <c r="F43" s="27" t="s">
        <v>24</v>
      </c>
      <c r="G43" s="235"/>
    </row>
    <row r="44" spans="1:7" ht="38.25">
      <c r="A44" s="234"/>
      <c r="B44" s="25" t="s">
        <v>858</v>
      </c>
      <c r="C44" s="234"/>
      <c r="D44" s="63" t="s">
        <v>859</v>
      </c>
      <c r="E44" s="63" t="s">
        <v>860</v>
      </c>
      <c r="F44" s="27" t="s">
        <v>24</v>
      </c>
      <c r="G44" s="234"/>
    </row>
    <row r="45" spans="1:7" ht="38.25">
      <c r="A45" s="256" t="s">
        <v>861</v>
      </c>
      <c r="B45" s="25" t="s">
        <v>862</v>
      </c>
      <c r="C45" s="255" t="s">
        <v>845</v>
      </c>
      <c r="D45" s="63" t="s">
        <v>863</v>
      </c>
      <c r="E45" s="63" t="s">
        <v>864</v>
      </c>
      <c r="F45" s="27" t="s">
        <v>24</v>
      </c>
      <c r="G45" s="276"/>
    </row>
    <row r="46" spans="1:7" ht="38.25">
      <c r="A46" s="235"/>
      <c r="B46" s="25" t="s">
        <v>575</v>
      </c>
      <c r="C46" s="235"/>
      <c r="D46" s="63" t="s">
        <v>865</v>
      </c>
      <c r="E46" s="63" t="s">
        <v>866</v>
      </c>
      <c r="F46" s="27" t="s">
        <v>24</v>
      </c>
      <c r="G46" s="235"/>
    </row>
    <row r="47" spans="1:7" ht="38.25">
      <c r="A47" s="235"/>
      <c r="B47" s="25" t="s">
        <v>867</v>
      </c>
      <c r="C47" s="235"/>
      <c r="D47" s="63" t="s">
        <v>868</v>
      </c>
      <c r="E47" s="63" t="s">
        <v>869</v>
      </c>
      <c r="F47" s="27" t="s">
        <v>24</v>
      </c>
      <c r="G47" s="235"/>
    </row>
    <row r="48" spans="1:7" ht="38.25">
      <c r="A48" s="235"/>
      <c r="B48" s="25" t="s">
        <v>870</v>
      </c>
      <c r="C48" s="235"/>
      <c r="D48" s="63" t="s">
        <v>871</v>
      </c>
      <c r="E48" s="63" t="s">
        <v>872</v>
      </c>
      <c r="F48" s="27" t="s">
        <v>24</v>
      </c>
      <c r="G48" s="235"/>
    </row>
    <row r="49" spans="1:9" ht="63.75">
      <c r="A49" s="234"/>
      <c r="B49" s="25" t="s">
        <v>593</v>
      </c>
      <c r="C49" s="234"/>
      <c r="D49" s="63" t="s">
        <v>873</v>
      </c>
      <c r="E49" s="63" t="s">
        <v>874</v>
      </c>
      <c r="F49" s="27" t="s">
        <v>24</v>
      </c>
      <c r="G49" s="234"/>
    </row>
    <row r="50" spans="1:9" ht="25.5">
      <c r="A50" s="256" t="s">
        <v>875</v>
      </c>
      <c r="B50" s="25" t="s">
        <v>876</v>
      </c>
      <c r="C50" s="255" t="s">
        <v>845</v>
      </c>
      <c r="D50" s="63" t="s">
        <v>877</v>
      </c>
      <c r="E50" s="63" t="s">
        <v>878</v>
      </c>
      <c r="F50" s="27" t="s">
        <v>24</v>
      </c>
      <c r="G50" s="276"/>
    </row>
    <row r="51" spans="1:9" ht="25.5">
      <c r="A51" s="235"/>
      <c r="B51" s="25" t="s">
        <v>879</v>
      </c>
      <c r="C51" s="235"/>
      <c r="D51" s="63" t="s">
        <v>880</v>
      </c>
      <c r="E51" s="63" t="s">
        <v>881</v>
      </c>
      <c r="F51" s="27" t="s">
        <v>24</v>
      </c>
      <c r="G51" s="235"/>
    </row>
    <row r="52" spans="1:9" ht="25.5">
      <c r="A52" s="235"/>
      <c r="B52" s="25" t="s">
        <v>882</v>
      </c>
      <c r="C52" s="234"/>
      <c r="D52" s="63" t="s">
        <v>883</v>
      </c>
      <c r="E52" s="63" t="s">
        <v>884</v>
      </c>
      <c r="F52" s="27" t="s">
        <v>24</v>
      </c>
      <c r="G52" s="234"/>
    </row>
    <row r="53" spans="1:9" ht="51">
      <c r="A53" s="235"/>
      <c r="B53" s="25" t="s">
        <v>885</v>
      </c>
      <c r="C53" s="255" t="s">
        <v>886</v>
      </c>
      <c r="D53" s="63" t="s">
        <v>887</v>
      </c>
      <c r="E53" s="63" t="s">
        <v>888</v>
      </c>
      <c r="F53" s="27" t="s">
        <v>24</v>
      </c>
      <c r="G53" s="276"/>
    </row>
    <row r="54" spans="1:9" ht="51">
      <c r="A54" s="235"/>
      <c r="B54" s="25" t="s">
        <v>889</v>
      </c>
      <c r="C54" s="235"/>
      <c r="D54" s="63" t="s">
        <v>890</v>
      </c>
      <c r="E54" s="63" t="s">
        <v>891</v>
      </c>
      <c r="F54" s="27" t="s">
        <v>24</v>
      </c>
      <c r="G54" s="235"/>
    </row>
    <row r="55" spans="1:9" ht="51">
      <c r="A55" s="235"/>
      <c r="B55" s="25" t="s">
        <v>892</v>
      </c>
      <c r="C55" s="235"/>
      <c r="D55" s="63" t="s">
        <v>893</v>
      </c>
      <c r="E55" s="63" t="s">
        <v>894</v>
      </c>
      <c r="F55" s="27" t="s">
        <v>24</v>
      </c>
      <c r="G55" s="235"/>
    </row>
    <row r="56" spans="1:9" ht="51">
      <c r="A56" s="235"/>
      <c r="B56" s="25" t="s">
        <v>895</v>
      </c>
      <c r="C56" s="235"/>
      <c r="D56" s="63" t="s">
        <v>896</v>
      </c>
      <c r="E56" s="63" t="s">
        <v>897</v>
      </c>
      <c r="F56" s="27" t="s">
        <v>24</v>
      </c>
      <c r="G56" s="235"/>
    </row>
    <row r="57" spans="1:9" ht="51">
      <c r="A57" s="235"/>
      <c r="B57" s="25" t="s">
        <v>898</v>
      </c>
      <c r="C57" s="235"/>
      <c r="D57" s="63" t="s">
        <v>899</v>
      </c>
      <c r="E57" s="63" t="s">
        <v>900</v>
      </c>
      <c r="F57" s="27" t="s">
        <v>24</v>
      </c>
      <c r="G57" s="235"/>
    </row>
    <row r="58" spans="1:9" ht="51">
      <c r="A58" s="235"/>
      <c r="B58" s="25" t="s">
        <v>901</v>
      </c>
      <c r="C58" s="235"/>
      <c r="D58" s="63" t="s">
        <v>902</v>
      </c>
      <c r="E58" s="63" t="s">
        <v>903</v>
      </c>
      <c r="F58" s="27" t="s">
        <v>24</v>
      </c>
      <c r="G58" s="235"/>
      <c r="H58" s="42" t="s">
        <v>2104</v>
      </c>
      <c r="I58" s="42" t="s">
        <v>2159</v>
      </c>
    </row>
    <row r="59" spans="1:9" ht="51">
      <c r="A59" s="235"/>
      <c r="B59" s="25" t="s">
        <v>904</v>
      </c>
      <c r="C59" s="235"/>
      <c r="D59" s="63" t="s">
        <v>905</v>
      </c>
      <c r="E59" s="63" t="s">
        <v>906</v>
      </c>
      <c r="F59" s="27" t="s">
        <v>24</v>
      </c>
      <c r="G59" s="235"/>
      <c r="H59" s="42"/>
      <c r="I59" s="42" t="s">
        <v>2160</v>
      </c>
    </row>
    <row r="60" spans="1:9" ht="38.25">
      <c r="A60" s="235"/>
      <c r="B60" s="25" t="s">
        <v>907</v>
      </c>
      <c r="C60" s="235"/>
      <c r="D60" s="63" t="s">
        <v>908</v>
      </c>
      <c r="E60" s="63" t="s">
        <v>909</v>
      </c>
      <c r="F60" s="27" t="s">
        <v>24</v>
      </c>
      <c r="G60" s="235"/>
    </row>
    <row r="61" spans="1:9" ht="38.25">
      <c r="A61" s="235"/>
      <c r="B61" s="25" t="s">
        <v>910</v>
      </c>
      <c r="C61" s="235"/>
      <c r="D61" s="63" t="s">
        <v>911</v>
      </c>
      <c r="E61" s="63" t="s">
        <v>912</v>
      </c>
      <c r="F61" s="27" t="s">
        <v>24</v>
      </c>
      <c r="G61" s="235"/>
    </row>
    <row r="62" spans="1:9" ht="38.25">
      <c r="A62" s="235"/>
      <c r="B62" s="25" t="s">
        <v>913</v>
      </c>
      <c r="C62" s="235"/>
      <c r="D62" s="63" t="s">
        <v>914</v>
      </c>
      <c r="E62" s="63" t="s">
        <v>915</v>
      </c>
      <c r="F62" s="27" t="s">
        <v>24</v>
      </c>
      <c r="G62" s="235"/>
      <c r="H62" s="194"/>
      <c r="I62" s="42" t="s">
        <v>2161</v>
      </c>
    </row>
    <row r="63" spans="1:9" ht="51">
      <c r="A63" s="235"/>
      <c r="B63" s="25" t="s">
        <v>916</v>
      </c>
      <c r="C63" s="234"/>
      <c r="D63" s="63" t="s">
        <v>917</v>
      </c>
      <c r="E63" s="63" t="s">
        <v>918</v>
      </c>
      <c r="F63" s="27" t="s">
        <v>24</v>
      </c>
      <c r="G63" s="234"/>
    </row>
    <row r="64" spans="1:9" ht="63.75">
      <c r="A64" s="235"/>
      <c r="B64" s="25" t="s">
        <v>919</v>
      </c>
      <c r="C64" s="255" t="s">
        <v>845</v>
      </c>
      <c r="D64" s="63" t="s">
        <v>920</v>
      </c>
      <c r="E64" s="63" t="s">
        <v>921</v>
      </c>
      <c r="F64" s="27" t="s">
        <v>24</v>
      </c>
      <c r="G64" s="276"/>
    </row>
    <row r="65" spans="1:25" ht="51">
      <c r="A65" s="235"/>
      <c r="B65" s="25" t="s">
        <v>922</v>
      </c>
      <c r="C65" s="235"/>
      <c r="D65" s="63" t="s">
        <v>923</v>
      </c>
      <c r="E65" s="63" t="s">
        <v>924</v>
      </c>
      <c r="F65" s="27" t="s">
        <v>24</v>
      </c>
      <c r="G65" s="235"/>
    </row>
    <row r="66" spans="1:25" ht="38.25">
      <c r="A66" s="235"/>
      <c r="B66" s="25" t="s">
        <v>925</v>
      </c>
      <c r="C66" s="235"/>
      <c r="D66" s="63" t="s">
        <v>926</v>
      </c>
      <c r="E66" s="25" t="s">
        <v>821</v>
      </c>
      <c r="F66" s="27" t="s">
        <v>24</v>
      </c>
      <c r="G66" s="235"/>
    </row>
    <row r="67" spans="1:25" ht="63.75">
      <c r="A67" s="234"/>
      <c r="B67" s="25" t="s">
        <v>927</v>
      </c>
      <c r="C67" s="234"/>
      <c r="D67" s="63" t="s">
        <v>928</v>
      </c>
      <c r="E67" s="63" t="s">
        <v>827</v>
      </c>
      <c r="F67" s="27" t="s">
        <v>24</v>
      </c>
      <c r="G67" s="234"/>
    </row>
    <row r="68" spans="1:25" ht="12.75">
      <c r="A68" s="236" t="s">
        <v>972</v>
      </c>
      <c r="B68" s="237"/>
      <c r="C68" s="237"/>
      <c r="D68" s="237"/>
      <c r="E68" s="237"/>
      <c r="F68" s="237"/>
      <c r="G68" s="238"/>
      <c r="H68" s="39"/>
      <c r="I68" s="39"/>
      <c r="J68" s="39"/>
      <c r="K68" s="39"/>
      <c r="L68" s="39"/>
      <c r="M68" s="39"/>
      <c r="N68" s="39"/>
      <c r="O68" s="39"/>
      <c r="P68" s="39"/>
      <c r="Q68" s="39"/>
      <c r="R68" s="39"/>
      <c r="S68" s="39"/>
      <c r="T68" s="39"/>
      <c r="U68" s="39"/>
      <c r="V68" s="39"/>
      <c r="W68" s="39"/>
      <c r="X68" s="39"/>
      <c r="Y68" s="39"/>
    </row>
    <row r="69" spans="1:25" ht="54" customHeight="1">
      <c r="A69" s="233" t="s">
        <v>973</v>
      </c>
      <c r="B69" s="23" t="s">
        <v>974</v>
      </c>
      <c r="C69" s="23" t="s">
        <v>975</v>
      </c>
      <c r="D69" s="23" t="s">
        <v>976</v>
      </c>
      <c r="E69" s="23" t="s">
        <v>977</v>
      </c>
      <c r="F69" s="27" t="s">
        <v>24</v>
      </c>
      <c r="G69" s="40"/>
      <c r="H69" s="39"/>
      <c r="I69" s="39"/>
      <c r="J69" s="39"/>
      <c r="K69" s="39"/>
      <c r="L69" s="39"/>
      <c r="M69" s="39"/>
      <c r="N69" s="39"/>
      <c r="O69" s="39"/>
      <c r="P69" s="39"/>
      <c r="Q69" s="39"/>
      <c r="R69" s="39"/>
      <c r="S69" s="39"/>
      <c r="T69" s="39"/>
      <c r="U69" s="39"/>
      <c r="V69" s="39"/>
      <c r="W69" s="39"/>
      <c r="X69" s="39"/>
      <c r="Y69" s="39"/>
    </row>
    <row r="70" spans="1:25" ht="66.75" customHeight="1">
      <c r="A70" s="235"/>
      <c r="B70" s="23" t="s">
        <v>978</v>
      </c>
      <c r="C70" s="26" t="s">
        <v>979</v>
      </c>
      <c r="D70" s="23" t="s">
        <v>980</v>
      </c>
      <c r="E70" s="23" t="s">
        <v>981</v>
      </c>
      <c r="F70" s="27" t="s">
        <v>24</v>
      </c>
      <c r="G70" s="40"/>
      <c r="H70" s="39"/>
      <c r="I70" s="39"/>
      <c r="J70" s="39"/>
      <c r="K70" s="39"/>
      <c r="L70" s="39"/>
      <c r="M70" s="39"/>
      <c r="N70" s="39"/>
      <c r="O70" s="39"/>
      <c r="P70" s="39"/>
      <c r="Q70" s="39"/>
      <c r="R70" s="39"/>
      <c r="S70" s="39"/>
      <c r="T70" s="39"/>
      <c r="U70" s="39"/>
      <c r="V70" s="39"/>
      <c r="W70" s="39"/>
      <c r="X70" s="39"/>
      <c r="Y70" s="39"/>
    </row>
    <row r="71" spans="1:25" ht="63.75">
      <c r="A71" s="73" t="s">
        <v>982</v>
      </c>
      <c r="B71" s="23" t="s">
        <v>983</v>
      </c>
      <c r="C71" s="239" t="s">
        <v>984</v>
      </c>
      <c r="D71" s="23" t="s">
        <v>985</v>
      </c>
      <c r="E71" s="23" t="s">
        <v>986</v>
      </c>
      <c r="F71" s="27" t="s">
        <v>24</v>
      </c>
      <c r="G71" s="40"/>
      <c r="H71" s="39"/>
      <c r="I71" s="39"/>
      <c r="J71" s="39"/>
      <c r="K71" s="39"/>
      <c r="L71" s="39"/>
      <c r="M71" s="39"/>
      <c r="N71" s="39"/>
      <c r="O71" s="39"/>
      <c r="P71" s="39"/>
      <c r="Q71" s="39"/>
      <c r="R71" s="39"/>
      <c r="S71" s="39"/>
      <c r="T71" s="39"/>
      <c r="U71" s="39"/>
      <c r="V71" s="39"/>
      <c r="W71" s="39"/>
      <c r="X71" s="39"/>
      <c r="Y71" s="39"/>
    </row>
    <row r="72" spans="1:25" ht="63.75">
      <c r="A72" s="233" t="s">
        <v>987</v>
      </c>
      <c r="B72" s="23" t="s">
        <v>988</v>
      </c>
      <c r="C72" s="235"/>
      <c r="D72" s="23" t="s">
        <v>989</v>
      </c>
      <c r="E72" s="23" t="s">
        <v>990</v>
      </c>
      <c r="F72" s="27" t="s">
        <v>24</v>
      </c>
      <c r="G72" s="23"/>
      <c r="H72" s="39"/>
      <c r="I72" s="39"/>
      <c r="J72" s="39"/>
      <c r="K72" s="39"/>
      <c r="L72" s="39"/>
      <c r="M72" s="39"/>
      <c r="N72" s="39"/>
      <c r="O72" s="39"/>
      <c r="P72" s="39"/>
      <c r="Q72" s="39"/>
      <c r="R72" s="39"/>
      <c r="S72" s="39"/>
      <c r="T72" s="39"/>
      <c r="U72" s="39"/>
      <c r="V72" s="39"/>
      <c r="W72" s="39"/>
      <c r="X72" s="39"/>
      <c r="Y72" s="39"/>
    </row>
    <row r="73" spans="1:25" ht="63.75">
      <c r="A73" s="234"/>
      <c r="B73" s="23" t="s">
        <v>991</v>
      </c>
      <c r="C73" s="234"/>
      <c r="D73" s="23" t="s">
        <v>992</v>
      </c>
      <c r="E73" s="23" t="s">
        <v>993</v>
      </c>
      <c r="F73" s="27" t="s">
        <v>24</v>
      </c>
      <c r="G73" s="40"/>
      <c r="H73" s="39"/>
      <c r="I73" s="39"/>
      <c r="J73" s="39"/>
      <c r="K73" s="39"/>
      <c r="L73" s="39"/>
      <c r="M73" s="39"/>
      <c r="N73" s="39"/>
      <c r="O73" s="39"/>
      <c r="P73" s="39"/>
      <c r="Q73" s="39"/>
      <c r="R73" s="39"/>
      <c r="S73" s="39"/>
      <c r="T73" s="39"/>
      <c r="U73" s="39"/>
      <c r="V73" s="39"/>
      <c r="W73" s="39"/>
      <c r="X73" s="39"/>
      <c r="Y73" s="39"/>
    </row>
    <row r="74" spans="1:25" ht="38.25">
      <c r="A74" s="37" t="s">
        <v>994</v>
      </c>
      <c r="B74" s="23" t="s">
        <v>995</v>
      </c>
      <c r="C74" s="26" t="s">
        <v>975</v>
      </c>
      <c r="D74" s="23" t="s">
        <v>996</v>
      </c>
      <c r="E74" s="23" t="s">
        <v>997</v>
      </c>
      <c r="F74" s="27" t="s">
        <v>24</v>
      </c>
      <c r="G74" s="40"/>
      <c r="H74" s="39"/>
      <c r="I74" s="39"/>
      <c r="J74" s="39"/>
      <c r="K74" s="39"/>
      <c r="L74" s="39"/>
      <c r="M74" s="39"/>
      <c r="N74" s="39"/>
      <c r="O74" s="39"/>
      <c r="P74" s="39"/>
      <c r="Q74" s="39"/>
      <c r="R74" s="39"/>
      <c r="S74" s="39"/>
      <c r="T74" s="39"/>
      <c r="U74" s="39"/>
      <c r="V74" s="39"/>
      <c r="W74" s="39"/>
      <c r="X74" s="39"/>
      <c r="Y74" s="39"/>
    </row>
    <row r="75" spans="1:25" ht="63.75">
      <c r="A75" s="37" t="s">
        <v>998</v>
      </c>
      <c r="B75" s="23" t="s">
        <v>999</v>
      </c>
      <c r="C75" s="26" t="s">
        <v>975</v>
      </c>
      <c r="D75" s="23" t="s">
        <v>1000</v>
      </c>
      <c r="E75" s="23" t="s">
        <v>1001</v>
      </c>
      <c r="F75" s="27" t="s">
        <v>24</v>
      </c>
      <c r="G75" s="40"/>
      <c r="H75" s="39"/>
      <c r="I75" s="39"/>
      <c r="J75" s="39"/>
      <c r="K75" s="39"/>
      <c r="L75" s="39"/>
      <c r="M75" s="39"/>
      <c r="N75" s="39"/>
      <c r="O75" s="39"/>
      <c r="P75" s="39"/>
      <c r="Q75" s="39"/>
      <c r="R75" s="39"/>
      <c r="S75" s="39"/>
      <c r="T75" s="39"/>
      <c r="U75" s="39"/>
      <c r="V75" s="39"/>
      <c r="W75" s="39"/>
      <c r="X75" s="39"/>
      <c r="Y75" s="39"/>
    </row>
    <row r="76" spans="1:25" ht="102">
      <c r="A76" s="233" t="s">
        <v>1002</v>
      </c>
      <c r="B76" s="23" t="s">
        <v>1003</v>
      </c>
      <c r="C76" s="26" t="s">
        <v>975</v>
      </c>
      <c r="D76" s="23" t="s">
        <v>1004</v>
      </c>
      <c r="E76" s="23" t="s">
        <v>1005</v>
      </c>
      <c r="F76" s="27" t="s">
        <v>24</v>
      </c>
      <c r="G76" s="23"/>
      <c r="H76" s="39"/>
      <c r="I76" s="39"/>
      <c r="J76" s="39"/>
      <c r="K76" s="39"/>
      <c r="L76" s="39"/>
      <c r="M76" s="39"/>
      <c r="N76" s="39"/>
      <c r="O76" s="39"/>
      <c r="P76" s="39"/>
      <c r="Q76" s="39"/>
      <c r="R76" s="39"/>
      <c r="S76" s="39"/>
      <c r="T76" s="39"/>
      <c r="U76" s="39"/>
      <c r="V76" s="39"/>
      <c r="W76" s="39"/>
      <c r="X76" s="39"/>
      <c r="Y76" s="39"/>
    </row>
    <row r="77" spans="1:25" ht="102">
      <c r="A77" s="234"/>
      <c r="B77" s="23" t="s">
        <v>1006</v>
      </c>
      <c r="C77" s="26" t="s">
        <v>975</v>
      </c>
      <c r="D77" s="23" t="s">
        <v>1007</v>
      </c>
      <c r="E77" s="23" t="s">
        <v>1008</v>
      </c>
      <c r="F77" s="27" t="s">
        <v>24</v>
      </c>
      <c r="G77" s="23"/>
      <c r="H77" s="39"/>
      <c r="I77" s="39"/>
      <c r="J77" s="39"/>
      <c r="K77" s="39"/>
      <c r="L77" s="39"/>
      <c r="M77" s="39"/>
      <c r="N77" s="39"/>
      <c r="O77" s="39"/>
      <c r="P77" s="39"/>
      <c r="Q77" s="39"/>
      <c r="R77" s="39"/>
      <c r="S77" s="39"/>
      <c r="T77" s="39"/>
      <c r="U77" s="39"/>
      <c r="V77" s="39"/>
      <c r="W77" s="39"/>
      <c r="X77" s="39"/>
      <c r="Y77" s="39"/>
    </row>
    <row r="78" spans="1:25" ht="89.25">
      <c r="A78" s="37" t="s">
        <v>1009</v>
      </c>
      <c r="B78" s="23" t="s">
        <v>1010</v>
      </c>
      <c r="C78" s="26" t="s">
        <v>975</v>
      </c>
      <c r="D78" s="23" t="s">
        <v>1011</v>
      </c>
      <c r="E78" s="23" t="s">
        <v>1012</v>
      </c>
      <c r="F78" s="27" t="s">
        <v>24</v>
      </c>
      <c r="G78" s="40"/>
      <c r="H78" s="39"/>
      <c r="I78" s="39"/>
      <c r="J78" s="39"/>
      <c r="K78" s="39"/>
      <c r="L78" s="39"/>
      <c r="M78" s="39"/>
      <c r="N78" s="39"/>
      <c r="O78" s="39"/>
      <c r="P78" s="39"/>
      <c r="Q78" s="39"/>
      <c r="R78" s="39"/>
      <c r="S78" s="39"/>
      <c r="T78" s="39"/>
      <c r="U78" s="39"/>
      <c r="V78" s="39"/>
      <c r="W78" s="39"/>
      <c r="X78" s="39"/>
      <c r="Y78" s="39"/>
    </row>
    <row r="79" spans="1:25" ht="51">
      <c r="A79" s="233" t="s">
        <v>1013</v>
      </c>
      <c r="B79" s="23" t="s">
        <v>1014</v>
      </c>
      <c r="C79" s="26" t="s">
        <v>975</v>
      </c>
      <c r="D79" s="23" t="s">
        <v>1015</v>
      </c>
      <c r="E79" s="23" t="s">
        <v>1016</v>
      </c>
      <c r="F79" s="27" t="s">
        <v>24</v>
      </c>
      <c r="G79" s="40"/>
      <c r="H79" s="39"/>
      <c r="I79" s="39"/>
      <c r="J79" s="39"/>
      <c r="K79" s="39"/>
      <c r="L79" s="39"/>
      <c r="M79" s="39"/>
      <c r="N79" s="39"/>
      <c r="O79" s="39"/>
      <c r="P79" s="39"/>
      <c r="Q79" s="39"/>
      <c r="R79" s="39"/>
      <c r="S79" s="39"/>
      <c r="T79" s="39"/>
      <c r="U79" s="39"/>
      <c r="V79" s="39"/>
      <c r="W79" s="39"/>
      <c r="X79" s="39"/>
      <c r="Y79" s="39"/>
    </row>
    <row r="80" spans="1:25" ht="51">
      <c r="A80" s="235"/>
      <c r="B80" s="23" t="s">
        <v>1017</v>
      </c>
      <c r="C80" s="26" t="s">
        <v>975</v>
      </c>
      <c r="D80" s="23" t="s">
        <v>2110</v>
      </c>
      <c r="E80" s="23" t="s">
        <v>1018</v>
      </c>
      <c r="F80" s="27" t="s">
        <v>24</v>
      </c>
      <c r="G80" s="23"/>
      <c r="H80" s="39"/>
      <c r="I80" s="39"/>
      <c r="J80" s="39"/>
      <c r="K80" s="39"/>
      <c r="L80" s="39"/>
      <c r="M80" s="39"/>
      <c r="N80" s="39"/>
      <c r="O80" s="39"/>
      <c r="P80" s="39"/>
      <c r="Q80" s="39"/>
      <c r="R80" s="39"/>
      <c r="S80" s="39"/>
      <c r="T80" s="39"/>
      <c r="U80" s="39"/>
      <c r="V80" s="39"/>
      <c r="W80" s="39"/>
      <c r="X80" s="39"/>
      <c r="Y80" s="39"/>
    </row>
    <row r="81" spans="1:25" ht="63.75">
      <c r="A81" s="234"/>
      <c r="B81" s="23" t="s">
        <v>1020</v>
      </c>
      <c r="C81" s="26" t="s">
        <v>975</v>
      </c>
      <c r="D81" s="23" t="s">
        <v>1021</v>
      </c>
      <c r="E81" s="23" t="s">
        <v>1022</v>
      </c>
      <c r="F81" s="27" t="s">
        <v>24</v>
      </c>
      <c r="G81" s="23"/>
      <c r="H81" s="39"/>
      <c r="I81" s="39"/>
      <c r="J81" s="39"/>
      <c r="K81" s="39"/>
      <c r="L81" s="39"/>
      <c r="M81" s="39"/>
      <c r="N81" s="39"/>
      <c r="O81" s="39"/>
      <c r="P81" s="39"/>
      <c r="Q81" s="39"/>
      <c r="R81" s="39"/>
      <c r="S81" s="39"/>
      <c r="T81" s="39"/>
      <c r="U81" s="39"/>
      <c r="V81" s="39"/>
      <c r="W81" s="39"/>
      <c r="X81" s="39"/>
      <c r="Y81" s="39"/>
    </row>
    <row r="82" spans="1:25" ht="12.75">
      <c r="A82" s="236" t="s">
        <v>1023</v>
      </c>
      <c r="B82" s="237"/>
      <c r="C82" s="237"/>
      <c r="D82" s="237"/>
      <c r="E82" s="237"/>
      <c r="F82" s="237"/>
      <c r="G82" s="238"/>
      <c r="H82" s="39"/>
      <c r="I82" s="39"/>
      <c r="J82" s="39"/>
      <c r="K82" s="39"/>
      <c r="L82" s="39"/>
      <c r="M82" s="39"/>
      <c r="N82" s="39"/>
      <c r="O82" s="39"/>
      <c r="P82" s="39"/>
      <c r="Q82" s="39"/>
      <c r="R82" s="39"/>
      <c r="S82" s="39"/>
      <c r="T82" s="39"/>
      <c r="U82" s="39"/>
      <c r="V82" s="39"/>
      <c r="W82" s="39"/>
      <c r="X82" s="39"/>
      <c r="Y82" s="39"/>
    </row>
    <row r="83" spans="1:25" ht="76.5">
      <c r="A83" s="195" t="s">
        <v>1024</v>
      </c>
      <c r="B83" s="25" t="s">
        <v>1025</v>
      </c>
      <c r="C83" s="25" t="s">
        <v>1026</v>
      </c>
      <c r="D83" s="25" t="s">
        <v>1027</v>
      </c>
      <c r="E83" s="25" t="s">
        <v>1028</v>
      </c>
      <c r="F83" s="30" t="s">
        <v>24</v>
      </c>
      <c r="G83" s="25" t="s">
        <v>2111</v>
      </c>
    </row>
    <row r="84" spans="1:25" ht="63.75">
      <c r="A84" s="196"/>
      <c r="B84" s="25" t="s">
        <v>1029</v>
      </c>
      <c r="C84" s="25" t="s">
        <v>1026</v>
      </c>
      <c r="D84" s="25" t="s">
        <v>1030</v>
      </c>
      <c r="E84" s="25" t="s">
        <v>1031</v>
      </c>
      <c r="F84" s="30" t="s">
        <v>24</v>
      </c>
      <c r="G84" s="25" t="s">
        <v>2112</v>
      </c>
    </row>
    <row r="85" spans="1:25" ht="102">
      <c r="A85" s="196"/>
      <c r="B85" s="25" t="s">
        <v>1032</v>
      </c>
      <c r="C85" s="36" t="s">
        <v>1026</v>
      </c>
      <c r="D85" s="25" t="s">
        <v>1033</v>
      </c>
      <c r="E85" s="23" t="s">
        <v>1034</v>
      </c>
      <c r="F85" s="30" t="s">
        <v>42</v>
      </c>
      <c r="G85" s="25" t="s">
        <v>2113</v>
      </c>
    </row>
    <row r="86" spans="1:25" ht="76.5">
      <c r="A86" s="233" t="s">
        <v>1035</v>
      </c>
      <c r="B86" s="25" t="s">
        <v>1036</v>
      </c>
      <c r="C86" s="25" t="s">
        <v>1037</v>
      </c>
      <c r="D86" s="25" t="s">
        <v>1038</v>
      </c>
      <c r="E86" s="25" t="s">
        <v>1039</v>
      </c>
      <c r="F86" s="30" t="s">
        <v>24</v>
      </c>
      <c r="G86" s="25" t="s">
        <v>2114</v>
      </c>
    </row>
    <row r="87" spans="1:25" ht="76.5">
      <c r="A87" s="235"/>
      <c r="B87" s="25" t="s">
        <v>1040</v>
      </c>
      <c r="C87" s="25" t="s">
        <v>1037</v>
      </c>
      <c r="D87" s="25" t="s">
        <v>1041</v>
      </c>
      <c r="E87" s="25" t="s">
        <v>1042</v>
      </c>
      <c r="F87" s="30" t="s">
        <v>24</v>
      </c>
      <c r="G87" s="25" t="s">
        <v>2113</v>
      </c>
    </row>
    <row r="88" spans="1:25" ht="76.5">
      <c r="A88" s="235"/>
      <c r="B88" s="25" t="s">
        <v>1043</v>
      </c>
      <c r="C88" s="25" t="s">
        <v>1037</v>
      </c>
      <c r="D88" s="25" t="s">
        <v>1044</v>
      </c>
      <c r="E88" s="25" t="s">
        <v>1045</v>
      </c>
      <c r="F88" s="30" t="s">
        <v>24</v>
      </c>
      <c r="G88" s="25" t="s">
        <v>2115</v>
      </c>
      <c r="H88" s="36" t="s">
        <v>2162</v>
      </c>
      <c r="I88" s="42" t="s">
        <v>2117</v>
      </c>
    </row>
    <row r="89" spans="1:25" ht="76.5">
      <c r="A89" s="235"/>
      <c r="B89" s="25" t="s">
        <v>1046</v>
      </c>
      <c r="C89" s="25" t="s">
        <v>1037</v>
      </c>
      <c r="D89" s="25" t="s">
        <v>1047</v>
      </c>
      <c r="E89" s="25" t="s">
        <v>1048</v>
      </c>
      <c r="F89" s="30" t="s">
        <v>24</v>
      </c>
      <c r="G89" s="25" t="s">
        <v>2118</v>
      </c>
      <c r="H89" s="36" t="s">
        <v>2163</v>
      </c>
      <c r="I89" s="42" t="s">
        <v>2117</v>
      </c>
    </row>
    <row r="90" spans="1:25" ht="76.5">
      <c r="A90" s="234"/>
      <c r="B90" s="25" t="s">
        <v>1049</v>
      </c>
      <c r="C90" s="25" t="s">
        <v>1037</v>
      </c>
      <c r="D90" s="25" t="s">
        <v>1050</v>
      </c>
      <c r="E90" s="25" t="s">
        <v>1051</v>
      </c>
      <c r="F90" s="30" t="s">
        <v>24</v>
      </c>
      <c r="G90" s="25" t="s">
        <v>2113</v>
      </c>
    </row>
    <row r="91" spans="1:25" ht="51">
      <c r="A91" s="37"/>
      <c r="B91" s="197" t="s">
        <v>1052</v>
      </c>
      <c r="C91" s="67" t="s">
        <v>1053</v>
      </c>
      <c r="D91" s="77" t="s">
        <v>1054</v>
      </c>
      <c r="E91" s="78" t="s">
        <v>1055</v>
      </c>
      <c r="F91" s="198" t="s">
        <v>24</v>
      </c>
      <c r="G91" s="25" t="s">
        <v>2113</v>
      </c>
    </row>
    <row r="92" spans="1:25" ht="76.5">
      <c r="A92" s="37" t="s">
        <v>1056</v>
      </c>
      <c r="B92" s="25" t="s">
        <v>1057</v>
      </c>
      <c r="C92" s="25" t="s">
        <v>1058</v>
      </c>
      <c r="D92" s="25" t="s">
        <v>1059</v>
      </c>
      <c r="E92" s="25" t="s">
        <v>1060</v>
      </c>
      <c r="F92" s="30" t="s">
        <v>24</v>
      </c>
      <c r="G92" s="25" t="s">
        <v>2113</v>
      </c>
    </row>
    <row r="93" spans="1:25" ht="76.5">
      <c r="A93" s="37" t="s">
        <v>1061</v>
      </c>
      <c r="B93" s="25" t="s">
        <v>1062</v>
      </c>
      <c r="C93" s="25" t="s">
        <v>1058</v>
      </c>
      <c r="D93" s="25" t="s">
        <v>1063</v>
      </c>
      <c r="E93" s="25" t="s">
        <v>1064</v>
      </c>
      <c r="F93" s="30" t="s">
        <v>24</v>
      </c>
      <c r="G93" s="25" t="s">
        <v>2113</v>
      </c>
    </row>
    <row r="94" spans="1:25" ht="51">
      <c r="A94" s="37" t="s">
        <v>1065</v>
      </c>
      <c r="B94" s="25" t="s">
        <v>1066</v>
      </c>
      <c r="C94" s="25" t="s">
        <v>1037</v>
      </c>
      <c r="D94" s="25" t="s">
        <v>1067</v>
      </c>
      <c r="E94" s="25" t="s">
        <v>1068</v>
      </c>
      <c r="F94" s="30" t="s">
        <v>24</v>
      </c>
      <c r="G94" s="25" t="s">
        <v>2113</v>
      </c>
    </row>
    <row r="95" spans="1:25" ht="12.75">
      <c r="A95" s="236" t="s">
        <v>1069</v>
      </c>
      <c r="B95" s="237"/>
      <c r="C95" s="237"/>
      <c r="D95" s="237"/>
      <c r="E95" s="237"/>
      <c r="F95" s="237"/>
      <c r="G95" s="238"/>
    </row>
    <row r="96" spans="1:25" ht="51">
      <c r="A96" s="37" t="s">
        <v>1070</v>
      </c>
      <c r="B96" s="79" t="s">
        <v>1025</v>
      </c>
      <c r="C96" s="23" t="s">
        <v>1071</v>
      </c>
      <c r="D96" s="25" t="s">
        <v>1072</v>
      </c>
      <c r="E96" s="25" t="s">
        <v>1073</v>
      </c>
      <c r="F96" s="27" t="s">
        <v>24</v>
      </c>
      <c r="G96" s="28"/>
    </row>
    <row r="97" spans="1:7" ht="76.5">
      <c r="A97" s="233" t="s">
        <v>1074</v>
      </c>
      <c r="B97" s="79" t="s">
        <v>1036</v>
      </c>
      <c r="C97" s="23" t="s">
        <v>1071</v>
      </c>
      <c r="D97" s="25" t="s">
        <v>1075</v>
      </c>
      <c r="E97" s="25" t="s">
        <v>1039</v>
      </c>
      <c r="F97" s="27" t="s">
        <v>42</v>
      </c>
      <c r="G97" s="25" t="s">
        <v>2120</v>
      </c>
    </row>
    <row r="98" spans="1:7" ht="63.75">
      <c r="A98" s="235"/>
      <c r="B98" s="79" t="s">
        <v>1076</v>
      </c>
      <c r="C98" s="23" t="s">
        <v>1071</v>
      </c>
      <c r="D98" s="25" t="s">
        <v>1077</v>
      </c>
      <c r="E98" s="25" t="s">
        <v>1078</v>
      </c>
      <c r="F98" s="27" t="s">
        <v>24</v>
      </c>
      <c r="G98" s="25"/>
    </row>
    <row r="99" spans="1:7" ht="63.75">
      <c r="A99" s="235"/>
      <c r="B99" s="79" t="s">
        <v>1079</v>
      </c>
      <c r="C99" s="23" t="s">
        <v>1071</v>
      </c>
      <c r="D99" s="25" t="s">
        <v>1080</v>
      </c>
      <c r="E99" s="25" t="s">
        <v>1081</v>
      </c>
      <c r="F99" s="27" t="s">
        <v>24</v>
      </c>
      <c r="G99" s="25"/>
    </row>
    <row r="100" spans="1:7" ht="63.75">
      <c r="A100" s="235"/>
      <c r="B100" s="79" t="s">
        <v>1046</v>
      </c>
      <c r="C100" s="23" t="s">
        <v>1071</v>
      </c>
      <c r="D100" s="25" t="s">
        <v>1082</v>
      </c>
      <c r="E100" s="25" t="s">
        <v>1083</v>
      </c>
      <c r="F100" s="27" t="s">
        <v>24</v>
      </c>
      <c r="G100" s="25"/>
    </row>
    <row r="101" spans="1:7" ht="76.5">
      <c r="A101" s="235"/>
      <c r="B101" s="79" t="s">
        <v>1049</v>
      </c>
      <c r="C101" s="23" t="s">
        <v>1071</v>
      </c>
      <c r="D101" s="25" t="s">
        <v>1084</v>
      </c>
      <c r="E101" s="25" t="s">
        <v>1051</v>
      </c>
      <c r="F101" s="27" t="s">
        <v>42</v>
      </c>
      <c r="G101" s="25" t="s">
        <v>2164</v>
      </c>
    </row>
    <row r="102" spans="1:7" ht="51">
      <c r="A102" s="234"/>
      <c r="B102" s="79" t="s">
        <v>1052</v>
      </c>
      <c r="C102" s="23" t="s">
        <v>1085</v>
      </c>
      <c r="D102" s="25" t="s">
        <v>1086</v>
      </c>
      <c r="E102" s="25" t="s">
        <v>1055</v>
      </c>
      <c r="F102" s="27" t="s">
        <v>24</v>
      </c>
      <c r="G102" s="25"/>
    </row>
    <row r="103" spans="1:7" ht="25.5">
      <c r="A103" s="29" t="s">
        <v>1087</v>
      </c>
      <c r="B103" s="41" t="s">
        <v>1088</v>
      </c>
      <c r="C103" s="23" t="s">
        <v>1071</v>
      </c>
      <c r="D103" s="57" t="s">
        <v>1089</v>
      </c>
      <c r="E103" s="23" t="s">
        <v>1090</v>
      </c>
      <c r="F103" s="27" t="s">
        <v>24</v>
      </c>
      <c r="G103" s="25"/>
    </row>
    <row r="104" spans="1:7" ht="63.75">
      <c r="A104" s="37" t="s">
        <v>1091</v>
      </c>
      <c r="B104" s="41" t="s">
        <v>1092</v>
      </c>
      <c r="C104" s="23" t="s">
        <v>1071</v>
      </c>
      <c r="D104" s="57" t="s">
        <v>2122</v>
      </c>
      <c r="E104" s="23" t="s">
        <v>1094</v>
      </c>
      <c r="F104" s="27" t="s">
        <v>24</v>
      </c>
      <c r="G104" s="25"/>
    </row>
    <row r="105" spans="1:7" ht="12.75">
      <c r="A105" s="236" t="s">
        <v>314</v>
      </c>
      <c r="B105" s="237"/>
      <c r="C105" s="237"/>
      <c r="D105" s="237"/>
      <c r="E105" s="237"/>
      <c r="F105" s="237"/>
      <c r="G105" s="238"/>
    </row>
    <row r="106" spans="1:7" ht="165.75">
      <c r="A106" s="40"/>
      <c r="B106" s="43" t="s">
        <v>315</v>
      </c>
      <c r="C106" s="43" t="s">
        <v>316</v>
      </c>
      <c r="D106" s="44" t="s">
        <v>317</v>
      </c>
      <c r="E106" s="43" t="s">
        <v>318</v>
      </c>
      <c r="F106" s="30" t="s">
        <v>42</v>
      </c>
      <c r="G106" s="201" t="s">
        <v>2165</v>
      </c>
    </row>
    <row r="107" spans="1:7" ht="63.75">
      <c r="A107" s="40"/>
      <c r="B107" s="43" t="s">
        <v>319</v>
      </c>
      <c r="C107" s="43" t="s">
        <v>316</v>
      </c>
      <c r="D107" s="43" t="s">
        <v>320</v>
      </c>
      <c r="E107" s="43" t="s">
        <v>321</v>
      </c>
      <c r="F107" s="30" t="s">
        <v>42</v>
      </c>
      <c r="G107" s="23" t="s">
        <v>2166</v>
      </c>
    </row>
    <row r="108" spans="1:7" ht="63.75">
      <c r="A108" s="40"/>
      <c r="B108" s="43" t="s">
        <v>322</v>
      </c>
      <c r="C108" s="43" t="s">
        <v>316</v>
      </c>
      <c r="D108" s="43" t="s">
        <v>323</v>
      </c>
      <c r="E108" s="43" t="s">
        <v>324</v>
      </c>
      <c r="F108" s="30" t="s">
        <v>24</v>
      </c>
      <c r="G108" s="40"/>
    </row>
    <row r="109" spans="1:7" ht="102">
      <c r="A109" s="40"/>
      <c r="B109" s="43" t="s">
        <v>325</v>
      </c>
      <c r="C109" s="43" t="s">
        <v>316</v>
      </c>
      <c r="D109" s="43" t="s">
        <v>326</v>
      </c>
      <c r="E109" s="43" t="s">
        <v>327</v>
      </c>
      <c r="F109" s="30" t="s">
        <v>24</v>
      </c>
      <c r="G109" s="23"/>
    </row>
    <row r="110" spans="1:7" ht="63.75">
      <c r="A110" s="40"/>
      <c r="B110" s="43" t="s">
        <v>328</v>
      </c>
      <c r="C110" s="43" t="s">
        <v>316</v>
      </c>
      <c r="D110" s="43" t="s">
        <v>329</v>
      </c>
      <c r="E110" s="43" t="s">
        <v>330</v>
      </c>
      <c r="F110" s="30" t="s">
        <v>42</v>
      </c>
      <c r="G110" s="23" t="s">
        <v>2167</v>
      </c>
    </row>
    <row r="111" spans="1:7" ht="63.75">
      <c r="A111" s="40"/>
      <c r="B111" s="43" t="s">
        <v>331</v>
      </c>
      <c r="C111" s="43" t="s">
        <v>316</v>
      </c>
      <c r="D111" s="43" t="s">
        <v>332</v>
      </c>
      <c r="E111" s="43" t="s">
        <v>333</v>
      </c>
      <c r="F111" s="30" t="s">
        <v>24</v>
      </c>
      <c r="G111" s="23" t="s">
        <v>2049</v>
      </c>
    </row>
    <row r="112" spans="1:7" ht="127.5">
      <c r="A112" s="40"/>
      <c r="B112" s="43" t="s">
        <v>334</v>
      </c>
      <c r="C112" s="43" t="s">
        <v>316</v>
      </c>
      <c r="D112" s="43" t="s">
        <v>335</v>
      </c>
      <c r="E112" s="43" t="s">
        <v>336</v>
      </c>
      <c r="F112" s="30" t="s">
        <v>42</v>
      </c>
      <c r="G112" s="24" t="s">
        <v>2168</v>
      </c>
    </row>
    <row r="113" spans="1:7" ht="165.75">
      <c r="A113" s="40"/>
      <c r="B113" s="46" t="s">
        <v>337</v>
      </c>
      <c r="C113" s="43" t="s">
        <v>316</v>
      </c>
      <c r="D113" s="43" t="s">
        <v>338</v>
      </c>
      <c r="E113" s="43" t="s">
        <v>339</v>
      </c>
      <c r="F113" s="30" t="s">
        <v>24</v>
      </c>
      <c r="G113" s="38"/>
    </row>
    <row r="114" spans="1:7" ht="204">
      <c r="A114" s="40"/>
      <c r="B114" s="43" t="s">
        <v>340</v>
      </c>
      <c r="C114" s="43" t="s">
        <v>341</v>
      </c>
      <c r="D114" s="43" t="s">
        <v>342</v>
      </c>
      <c r="E114" s="43" t="s">
        <v>343</v>
      </c>
      <c r="F114" s="30" t="s">
        <v>188</v>
      </c>
      <c r="G114" s="239" t="s">
        <v>2169</v>
      </c>
    </row>
    <row r="115" spans="1:7" ht="114.75">
      <c r="A115" s="40"/>
      <c r="B115" s="43" t="s">
        <v>344</v>
      </c>
      <c r="C115" s="43" t="s">
        <v>341</v>
      </c>
      <c r="D115" s="43" t="s">
        <v>345</v>
      </c>
      <c r="E115" s="43" t="s">
        <v>346</v>
      </c>
      <c r="F115" s="30" t="s">
        <v>188</v>
      </c>
      <c r="G115" s="235"/>
    </row>
    <row r="116" spans="1:7" ht="140.25">
      <c r="A116" s="40"/>
      <c r="B116" s="43" t="s">
        <v>347</v>
      </c>
      <c r="C116" s="43" t="s">
        <v>348</v>
      </c>
      <c r="D116" s="43" t="s">
        <v>349</v>
      </c>
      <c r="E116" s="43" t="s">
        <v>350</v>
      </c>
      <c r="F116" s="30" t="s">
        <v>188</v>
      </c>
      <c r="G116" s="235"/>
    </row>
    <row r="117" spans="1:7" ht="89.25">
      <c r="A117" s="40"/>
      <c r="B117" s="43" t="s">
        <v>351</v>
      </c>
      <c r="C117" s="43" t="s">
        <v>352</v>
      </c>
      <c r="D117" s="43" t="s">
        <v>353</v>
      </c>
      <c r="E117" s="43" t="s">
        <v>354</v>
      </c>
      <c r="F117" s="30" t="s">
        <v>188</v>
      </c>
      <c r="G117" s="235"/>
    </row>
    <row r="118" spans="1:7" ht="114.75">
      <c r="A118" s="40"/>
      <c r="B118" s="43" t="s">
        <v>355</v>
      </c>
      <c r="C118" s="43" t="s">
        <v>356</v>
      </c>
      <c r="D118" s="43" t="s">
        <v>357</v>
      </c>
      <c r="E118" s="43" t="s">
        <v>358</v>
      </c>
      <c r="F118" s="30" t="s">
        <v>188</v>
      </c>
      <c r="G118" s="235"/>
    </row>
    <row r="119" spans="1:7" ht="63.75">
      <c r="A119" s="40"/>
      <c r="B119" s="43" t="s">
        <v>359</v>
      </c>
      <c r="C119" s="43" t="s">
        <v>316</v>
      </c>
      <c r="D119" s="43" t="s">
        <v>332</v>
      </c>
      <c r="E119" s="43" t="s">
        <v>333</v>
      </c>
      <c r="F119" s="30" t="s">
        <v>188</v>
      </c>
      <c r="G119" s="235"/>
    </row>
    <row r="120" spans="1:7" ht="114.75">
      <c r="A120" s="40"/>
      <c r="B120" s="43" t="s">
        <v>360</v>
      </c>
      <c r="C120" s="43" t="s">
        <v>361</v>
      </c>
      <c r="D120" s="43" t="s">
        <v>362</v>
      </c>
      <c r="E120" s="43" t="s">
        <v>363</v>
      </c>
      <c r="F120" s="30" t="s">
        <v>188</v>
      </c>
      <c r="G120" s="235"/>
    </row>
    <row r="121" spans="1:7" ht="127.5">
      <c r="A121" s="40"/>
      <c r="B121" s="46" t="s">
        <v>364</v>
      </c>
      <c r="C121" s="43" t="s">
        <v>365</v>
      </c>
      <c r="D121" s="43" t="s">
        <v>366</v>
      </c>
      <c r="E121" s="43" t="s">
        <v>367</v>
      </c>
      <c r="F121" s="30" t="s">
        <v>188</v>
      </c>
      <c r="G121" s="234"/>
    </row>
    <row r="122" spans="1:7" ht="76.5">
      <c r="A122" s="40"/>
      <c r="B122" s="43" t="s">
        <v>368</v>
      </c>
      <c r="C122" s="43" t="s">
        <v>316</v>
      </c>
      <c r="D122" s="43" t="s">
        <v>369</v>
      </c>
      <c r="E122" s="43" t="s">
        <v>370</v>
      </c>
      <c r="F122" s="30" t="s">
        <v>42</v>
      </c>
      <c r="G122" s="24" t="s">
        <v>2166</v>
      </c>
    </row>
    <row r="123" spans="1:7" ht="140.25">
      <c r="A123" s="40"/>
      <c r="B123" s="43" t="s">
        <v>371</v>
      </c>
      <c r="C123" s="43" t="s">
        <v>316</v>
      </c>
      <c r="D123" s="43" t="s">
        <v>372</v>
      </c>
      <c r="E123" s="43" t="s">
        <v>373</v>
      </c>
      <c r="F123" s="30" t="s">
        <v>24</v>
      </c>
      <c r="G123" s="35"/>
    </row>
    <row r="124" spans="1:7" ht="102">
      <c r="A124" s="40"/>
      <c r="B124" s="43" t="s">
        <v>374</v>
      </c>
      <c r="C124" s="43" t="s">
        <v>375</v>
      </c>
      <c r="D124" s="43" t="s">
        <v>376</v>
      </c>
      <c r="E124" s="43" t="s">
        <v>377</v>
      </c>
      <c r="F124" s="30" t="s">
        <v>42</v>
      </c>
      <c r="G124" s="35" t="s">
        <v>2168</v>
      </c>
    </row>
    <row r="125" spans="1:7" ht="102">
      <c r="A125" s="40"/>
      <c r="B125" s="43" t="s">
        <v>378</v>
      </c>
      <c r="C125" s="43" t="s">
        <v>375</v>
      </c>
      <c r="D125" s="43" t="s">
        <v>379</v>
      </c>
      <c r="E125" s="43" t="s">
        <v>380</v>
      </c>
      <c r="F125" s="30" t="s">
        <v>24</v>
      </c>
      <c r="G125" s="35"/>
    </row>
    <row r="126" spans="1:7" ht="127.5">
      <c r="A126" s="40"/>
      <c r="B126" s="43" t="s">
        <v>381</v>
      </c>
      <c r="C126" s="43" t="s">
        <v>382</v>
      </c>
      <c r="D126" s="43" t="s">
        <v>383</v>
      </c>
      <c r="E126" s="43" t="s">
        <v>384</v>
      </c>
      <c r="F126" s="30" t="s">
        <v>24</v>
      </c>
      <c r="G126" s="35"/>
    </row>
    <row r="127" spans="1:7" ht="102">
      <c r="A127" s="40"/>
      <c r="B127" s="46" t="s">
        <v>385</v>
      </c>
      <c r="C127" s="43" t="s">
        <v>375</v>
      </c>
      <c r="D127" s="43" t="s">
        <v>386</v>
      </c>
      <c r="E127" s="43" t="s">
        <v>387</v>
      </c>
      <c r="F127" s="30" t="s">
        <v>42</v>
      </c>
      <c r="G127" s="35" t="s">
        <v>2170</v>
      </c>
    </row>
    <row r="128" spans="1:7" ht="102">
      <c r="A128" s="40"/>
      <c r="B128" s="43" t="s">
        <v>388</v>
      </c>
      <c r="C128" s="43" t="s">
        <v>375</v>
      </c>
      <c r="D128" s="43" t="s">
        <v>389</v>
      </c>
      <c r="E128" s="43" t="s">
        <v>390</v>
      </c>
      <c r="F128" s="30" t="s">
        <v>24</v>
      </c>
      <c r="G128" s="35"/>
    </row>
    <row r="129" spans="1:7" ht="102">
      <c r="A129" s="40"/>
      <c r="B129" s="46" t="s">
        <v>391</v>
      </c>
      <c r="C129" s="43" t="s">
        <v>375</v>
      </c>
      <c r="D129" s="43" t="s">
        <v>392</v>
      </c>
      <c r="E129" s="43" t="s">
        <v>393</v>
      </c>
      <c r="F129" s="30" t="s">
        <v>24</v>
      </c>
      <c r="G129" s="35"/>
    </row>
    <row r="130" spans="1:7" ht="102">
      <c r="A130" s="40"/>
      <c r="B130" s="43" t="s">
        <v>394</v>
      </c>
      <c r="C130" s="43" t="s">
        <v>375</v>
      </c>
      <c r="D130" s="43" t="s">
        <v>395</v>
      </c>
      <c r="E130" s="43" t="s">
        <v>396</v>
      </c>
      <c r="F130" s="30" t="s">
        <v>24</v>
      </c>
      <c r="G130" s="35"/>
    </row>
    <row r="131" spans="1:7" ht="165.75">
      <c r="A131" s="40"/>
      <c r="B131" s="43" t="s">
        <v>397</v>
      </c>
      <c r="C131" s="43" t="s">
        <v>375</v>
      </c>
      <c r="D131" s="43" t="s">
        <v>398</v>
      </c>
      <c r="E131" s="43" t="s">
        <v>339</v>
      </c>
      <c r="F131" s="30" t="s">
        <v>24</v>
      </c>
      <c r="G131" s="35"/>
    </row>
    <row r="132" spans="1:7" ht="102">
      <c r="A132" s="40"/>
      <c r="B132" s="43" t="s">
        <v>399</v>
      </c>
      <c r="C132" s="43" t="s">
        <v>375</v>
      </c>
      <c r="D132" s="43" t="s">
        <v>400</v>
      </c>
      <c r="E132" s="43" t="s">
        <v>358</v>
      </c>
      <c r="F132" s="30" t="s">
        <v>24</v>
      </c>
      <c r="G132" s="35"/>
    </row>
    <row r="133" spans="1:7" ht="102">
      <c r="A133" s="40"/>
      <c r="B133" s="43" t="s">
        <v>401</v>
      </c>
      <c r="C133" s="43" t="s">
        <v>402</v>
      </c>
      <c r="D133" s="43" t="s">
        <v>403</v>
      </c>
      <c r="E133" s="43" t="s">
        <v>404</v>
      </c>
      <c r="F133" s="30" t="s">
        <v>188</v>
      </c>
      <c r="G133" s="251" t="s">
        <v>2171</v>
      </c>
    </row>
    <row r="134" spans="1:7" ht="102">
      <c r="A134" s="40"/>
      <c r="B134" s="43" t="s">
        <v>405</v>
      </c>
      <c r="C134" s="43" t="s">
        <v>375</v>
      </c>
      <c r="D134" s="43" t="s">
        <v>406</v>
      </c>
      <c r="E134" s="43" t="s">
        <v>407</v>
      </c>
      <c r="F134" s="30" t="s">
        <v>188</v>
      </c>
      <c r="G134" s="235"/>
    </row>
    <row r="135" spans="1:7" ht="102">
      <c r="A135" s="40"/>
      <c r="B135" s="43" t="s">
        <v>408</v>
      </c>
      <c r="C135" s="43" t="s">
        <v>375</v>
      </c>
      <c r="D135" s="43" t="s">
        <v>409</v>
      </c>
      <c r="E135" s="43" t="s">
        <v>410</v>
      </c>
      <c r="F135" s="30" t="s">
        <v>188</v>
      </c>
      <c r="G135" s="235"/>
    </row>
    <row r="136" spans="1:7" ht="102">
      <c r="A136" s="40"/>
      <c r="B136" s="43" t="s">
        <v>411</v>
      </c>
      <c r="C136" s="43" t="s">
        <v>375</v>
      </c>
      <c r="D136" s="43" t="s">
        <v>412</v>
      </c>
      <c r="E136" s="43" t="s">
        <v>413</v>
      </c>
      <c r="F136" s="30" t="s">
        <v>188</v>
      </c>
      <c r="G136" s="235"/>
    </row>
    <row r="137" spans="1:7" ht="127.5">
      <c r="A137" s="40"/>
      <c r="B137" s="43" t="s">
        <v>414</v>
      </c>
      <c r="C137" s="43" t="s">
        <v>375</v>
      </c>
      <c r="D137" s="43" t="s">
        <v>415</v>
      </c>
      <c r="E137" s="43" t="s">
        <v>336</v>
      </c>
      <c r="F137" s="30" t="s">
        <v>188</v>
      </c>
      <c r="G137" s="235"/>
    </row>
    <row r="138" spans="1:7" ht="102">
      <c r="A138" s="40"/>
      <c r="B138" s="43" t="s">
        <v>416</v>
      </c>
      <c r="C138" s="43" t="s">
        <v>375</v>
      </c>
      <c r="D138" s="43" t="s">
        <v>417</v>
      </c>
      <c r="E138" s="43" t="s">
        <v>418</v>
      </c>
      <c r="F138" s="30" t="s">
        <v>188</v>
      </c>
      <c r="G138" s="235"/>
    </row>
    <row r="139" spans="1:7" ht="165.75">
      <c r="A139" s="40"/>
      <c r="B139" s="43" t="s">
        <v>419</v>
      </c>
      <c r="C139" s="43" t="s">
        <v>375</v>
      </c>
      <c r="D139" s="43" t="s">
        <v>420</v>
      </c>
      <c r="E139" s="43" t="s">
        <v>339</v>
      </c>
      <c r="F139" s="30" t="s">
        <v>188</v>
      </c>
      <c r="G139" s="235"/>
    </row>
    <row r="140" spans="1:7" ht="102">
      <c r="A140" s="40"/>
      <c r="B140" s="43" t="s">
        <v>421</v>
      </c>
      <c r="C140" s="43" t="s">
        <v>375</v>
      </c>
      <c r="D140" s="43" t="s">
        <v>422</v>
      </c>
      <c r="E140" s="43" t="s">
        <v>358</v>
      </c>
      <c r="F140" s="30" t="s">
        <v>188</v>
      </c>
      <c r="G140" s="234"/>
    </row>
    <row r="141" spans="1:7" ht="63.75">
      <c r="A141" s="40"/>
      <c r="B141" s="43" t="s">
        <v>423</v>
      </c>
      <c r="C141" s="43" t="s">
        <v>424</v>
      </c>
      <c r="D141" s="43" t="s">
        <v>425</v>
      </c>
      <c r="E141" s="43" t="s">
        <v>426</v>
      </c>
      <c r="F141" s="30" t="s">
        <v>188</v>
      </c>
      <c r="G141" s="239" t="s">
        <v>2172</v>
      </c>
    </row>
    <row r="142" spans="1:7" ht="63.75">
      <c r="A142" s="40"/>
      <c r="B142" s="43" t="s">
        <v>427</v>
      </c>
      <c r="C142" s="43" t="s">
        <v>424</v>
      </c>
      <c r="D142" s="43" t="s">
        <v>428</v>
      </c>
      <c r="E142" s="43" t="s">
        <v>429</v>
      </c>
      <c r="F142" s="30" t="s">
        <v>188</v>
      </c>
      <c r="G142" s="235"/>
    </row>
    <row r="143" spans="1:7" ht="63.75">
      <c r="A143" s="40"/>
      <c r="B143" s="43" t="s">
        <v>430</v>
      </c>
      <c r="C143" s="43" t="s">
        <v>424</v>
      </c>
      <c r="D143" s="43" t="s">
        <v>431</v>
      </c>
      <c r="E143" s="43" t="s">
        <v>432</v>
      </c>
      <c r="F143" s="30" t="s">
        <v>188</v>
      </c>
      <c r="G143" s="235"/>
    </row>
    <row r="144" spans="1:7" ht="76.5">
      <c r="A144" s="40"/>
      <c r="B144" s="43" t="s">
        <v>433</v>
      </c>
      <c r="C144" s="43" t="s">
        <v>424</v>
      </c>
      <c r="D144" s="43" t="s">
        <v>434</v>
      </c>
      <c r="E144" s="43" t="s">
        <v>435</v>
      </c>
      <c r="F144" s="30" t="s">
        <v>188</v>
      </c>
      <c r="G144" s="235"/>
    </row>
    <row r="145" spans="1:7" ht="63.75">
      <c r="A145" s="40"/>
      <c r="B145" s="43" t="s">
        <v>388</v>
      </c>
      <c r="C145" s="43" t="s">
        <v>424</v>
      </c>
      <c r="D145" s="43" t="s">
        <v>436</v>
      </c>
      <c r="E145" s="43" t="s">
        <v>437</v>
      </c>
      <c r="F145" s="30" t="s">
        <v>188</v>
      </c>
      <c r="G145" s="235"/>
    </row>
    <row r="146" spans="1:7" ht="63.75">
      <c r="A146" s="40"/>
      <c r="B146" s="43" t="s">
        <v>438</v>
      </c>
      <c r="C146" s="43" t="s">
        <v>424</v>
      </c>
      <c r="D146" s="43" t="s">
        <v>439</v>
      </c>
      <c r="E146" s="43" t="s">
        <v>440</v>
      </c>
      <c r="F146" s="30" t="s">
        <v>188</v>
      </c>
      <c r="G146" s="235"/>
    </row>
    <row r="147" spans="1:7" ht="63.75">
      <c r="A147" s="40"/>
      <c r="B147" s="43" t="s">
        <v>441</v>
      </c>
      <c r="C147" s="43" t="s">
        <v>424</v>
      </c>
      <c r="D147" s="43" t="s">
        <v>442</v>
      </c>
      <c r="E147" s="43" t="s">
        <v>443</v>
      </c>
      <c r="F147" s="30" t="s">
        <v>188</v>
      </c>
      <c r="G147" s="235"/>
    </row>
    <row r="148" spans="1:7" ht="102">
      <c r="A148" s="40"/>
      <c r="B148" s="43" t="s">
        <v>444</v>
      </c>
      <c r="C148" s="43" t="s">
        <v>424</v>
      </c>
      <c r="D148" s="43" t="s">
        <v>445</v>
      </c>
      <c r="E148" s="43" t="s">
        <v>446</v>
      </c>
      <c r="F148" s="30" t="s">
        <v>188</v>
      </c>
      <c r="G148" s="234"/>
    </row>
    <row r="149" spans="1:7" ht="165.75">
      <c r="A149" s="40"/>
      <c r="B149" s="43" t="s">
        <v>447</v>
      </c>
      <c r="C149" s="43" t="s">
        <v>424</v>
      </c>
      <c r="D149" s="43" t="s">
        <v>448</v>
      </c>
      <c r="E149" s="43" t="s">
        <v>339</v>
      </c>
      <c r="F149" s="30" t="s">
        <v>188</v>
      </c>
      <c r="G149" s="239" t="s">
        <v>2132</v>
      </c>
    </row>
    <row r="150" spans="1:7" ht="89.25">
      <c r="A150" s="40"/>
      <c r="B150" s="43" t="s">
        <v>449</v>
      </c>
      <c r="C150" s="43" t="s">
        <v>450</v>
      </c>
      <c r="D150" s="43" t="s">
        <v>451</v>
      </c>
      <c r="E150" s="43" t="s">
        <v>404</v>
      </c>
      <c r="F150" s="30" t="s">
        <v>188</v>
      </c>
      <c r="G150" s="234"/>
    </row>
    <row r="151" spans="1:7" ht="76.5">
      <c r="A151" s="40"/>
      <c r="B151" s="43" t="s">
        <v>405</v>
      </c>
      <c r="C151" s="43" t="s">
        <v>452</v>
      </c>
      <c r="D151" s="43" t="s">
        <v>453</v>
      </c>
      <c r="E151" s="43" t="s">
        <v>407</v>
      </c>
      <c r="F151" s="30" t="s">
        <v>188</v>
      </c>
      <c r="G151" s="23" t="s">
        <v>2133</v>
      </c>
    </row>
    <row r="152" spans="1:7" ht="89.25">
      <c r="A152" s="40"/>
      <c r="B152" s="43" t="s">
        <v>408</v>
      </c>
      <c r="C152" s="43" t="s">
        <v>450</v>
      </c>
      <c r="D152" s="43" t="s">
        <v>409</v>
      </c>
      <c r="E152" s="43" t="s">
        <v>410</v>
      </c>
      <c r="F152" s="30" t="s">
        <v>188</v>
      </c>
      <c r="G152" s="239" t="s">
        <v>2173</v>
      </c>
    </row>
    <row r="153" spans="1:7" ht="89.25">
      <c r="A153" s="40"/>
      <c r="B153" s="43" t="s">
        <v>411</v>
      </c>
      <c r="C153" s="43" t="s">
        <v>450</v>
      </c>
      <c r="D153" s="43" t="s">
        <v>412</v>
      </c>
      <c r="E153" s="43" t="s">
        <v>413</v>
      </c>
      <c r="F153" s="30" t="s">
        <v>188</v>
      </c>
      <c r="G153" s="235"/>
    </row>
    <row r="154" spans="1:7" ht="127.5">
      <c r="A154" s="40"/>
      <c r="B154" s="43" t="s">
        <v>414</v>
      </c>
      <c r="C154" s="43" t="s">
        <v>450</v>
      </c>
      <c r="D154" s="43" t="s">
        <v>415</v>
      </c>
      <c r="E154" s="43" t="s">
        <v>336</v>
      </c>
      <c r="F154" s="30" t="s">
        <v>188</v>
      </c>
      <c r="G154" s="235"/>
    </row>
    <row r="155" spans="1:7" ht="89.25">
      <c r="A155" s="40"/>
      <c r="B155" s="43" t="s">
        <v>416</v>
      </c>
      <c r="C155" s="43" t="s">
        <v>450</v>
      </c>
      <c r="D155" s="43" t="s">
        <v>417</v>
      </c>
      <c r="E155" s="43" t="s">
        <v>418</v>
      </c>
      <c r="F155" s="30" t="s">
        <v>188</v>
      </c>
      <c r="G155" s="235"/>
    </row>
    <row r="156" spans="1:7" ht="165.75">
      <c r="A156" s="40"/>
      <c r="B156" s="43" t="s">
        <v>419</v>
      </c>
      <c r="C156" s="43" t="s">
        <v>450</v>
      </c>
      <c r="D156" s="43" t="s">
        <v>420</v>
      </c>
      <c r="E156" s="43" t="s">
        <v>339</v>
      </c>
      <c r="F156" s="30" t="s">
        <v>188</v>
      </c>
      <c r="G156" s="235"/>
    </row>
    <row r="157" spans="1:7" ht="89.25">
      <c r="A157" s="40"/>
      <c r="B157" s="43" t="s">
        <v>421</v>
      </c>
      <c r="C157" s="43" t="s">
        <v>450</v>
      </c>
      <c r="D157" s="43" t="s">
        <v>454</v>
      </c>
      <c r="E157" s="43" t="s">
        <v>455</v>
      </c>
      <c r="F157" s="30" t="s">
        <v>188</v>
      </c>
      <c r="G157" s="234"/>
    </row>
    <row r="158" spans="1:7" ht="12.75">
      <c r="A158" s="236" t="s">
        <v>456</v>
      </c>
      <c r="B158" s="237"/>
      <c r="C158" s="237"/>
      <c r="D158" s="237"/>
      <c r="E158" s="237"/>
      <c r="F158" s="237"/>
      <c r="G158" s="238"/>
    </row>
    <row r="159" spans="1:7" ht="12.75">
      <c r="A159" s="47"/>
      <c r="B159" s="48" t="s">
        <v>457</v>
      </c>
      <c r="C159" s="48" t="s">
        <v>458</v>
      </c>
      <c r="D159" s="48" t="s">
        <v>459</v>
      </c>
      <c r="E159" s="48" t="s">
        <v>460</v>
      </c>
      <c r="F159" s="30" t="s">
        <v>188</v>
      </c>
      <c r="G159" s="41"/>
    </row>
    <row r="160" spans="1:7" ht="12.75">
      <c r="A160" s="47"/>
      <c r="B160" s="48" t="s">
        <v>461</v>
      </c>
      <c r="C160" s="48" t="s">
        <v>458</v>
      </c>
      <c r="D160" s="48" t="s">
        <v>462</v>
      </c>
      <c r="E160" s="48" t="s">
        <v>463</v>
      </c>
      <c r="F160" s="30" t="s">
        <v>188</v>
      </c>
      <c r="G160" s="47"/>
    </row>
    <row r="161" spans="1:7" ht="12.75">
      <c r="A161" s="47"/>
      <c r="B161" s="48" t="s">
        <v>2050</v>
      </c>
      <c r="C161" s="48" t="s">
        <v>458</v>
      </c>
      <c r="D161" s="48" t="s">
        <v>2051</v>
      </c>
      <c r="E161" s="48" t="s">
        <v>2052</v>
      </c>
      <c r="F161" s="30" t="s">
        <v>188</v>
      </c>
      <c r="G161" s="47"/>
    </row>
    <row r="162" spans="1:7" ht="12.75">
      <c r="A162" s="47"/>
      <c r="B162" s="48" t="s">
        <v>464</v>
      </c>
      <c r="C162" s="48" t="s">
        <v>458</v>
      </c>
      <c r="D162" s="48" t="s">
        <v>465</v>
      </c>
      <c r="E162" s="48" t="s">
        <v>466</v>
      </c>
      <c r="F162" s="30" t="s">
        <v>188</v>
      </c>
      <c r="G162" s="47"/>
    </row>
    <row r="163" spans="1:7" ht="12.75">
      <c r="A163" s="47"/>
      <c r="B163" s="48" t="s">
        <v>467</v>
      </c>
      <c r="C163" s="48" t="s">
        <v>458</v>
      </c>
      <c r="D163" s="48" t="s">
        <v>468</v>
      </c>
      <c r="E163" s="48" t="s">
        <v>469</v>
      </c>
      <c r="F163" s="30" t="s">
        <v>188</v>
      </c>
      <c r="G163" s="47"/>
    </row>
    <row r="164" spans="1:7" ht="63.75">
      <c r="A164" s="47"/>
      <c r="B164" s="48" t="s">
        <v>470</v>
      </c>
      <c r="C164" s="48" t="s">
        <v>458</v>
      </c>
      <c r="D164" s="43" t="s">
        <v>332</v>
      </c>
      <c r="E164" s="43" t="s">
        <v>185</v>
      </c>
      <c r="F164" s="30" t="s">
        <v>188</v>
      </c>
      <c r="G164" s="47"/>
    </row>
    <row r="165" spans="1:7" ht="12.75">
      <c r="A165" s="47"/>
      <c r="B165" s="48" t="s">
        <v>471</v>
      </c>
      <c r="C165" s="48" t="s">
        <v>458</v>
      </c>
      <c r="D165" s="48" t="s">
        <v>472</v>
      </c>
      <c r="E165" s="48" t="s">
        <v>473</v>
      </c>
      <c r="F165" s="30" t="s">
        <v>188</v>
      </c>
      <c r="G165" s="47"/>
    </row>
    <row r="166" spans="1:7" ht="12.75">
      <c r="A166" s="47"/>
      <c r="B166" s="48" t="s">
        <v>474</v>
      </c>
      <c r="C166" s="48" t="s">
        <v>458</v>
      </c>
      <c r="D166" s="48" t="s">
        <v>475</v>
      </c>
      <c r="E166" s="48" t="s">
        <v>476</v>
      </c>
      <c r="F166" s="30" t="s">
        <v>188</v>
      </c>
      <c r="G166" s="47"/>
    </row>
    <row r="167" spans="1:7" ht="12.75">
      <c r="A167" s="47"/>
      <c r="B167" s="48" t="s">
        <v>477</v>
      </c>
      <c r="C167" s="48" t="s">
        <v>478</v>
      </c>
      <c r="D167" s="48" t="s">
        <v>479</v>
      </c>
      <c r="E167" s="48" t="s">
        <v>480</v>
      </c>
      <c r="F167" s="30" t="s">
        <v>188</v>
      </c>
      <c r="G167" s="47"/>
    </row>
    <row r="168" spans="1:7" ht="12.75">
      <c r="A168" s="47"/>
      <c r="B168" s="48" t="s">
        <v>481</v>
      </c>
      <c r="C168" s="48" t="s">
        <v>478</v>
      </c>
      <c r="D168" s="48" t="s">
        <v>482</v>
      </c>
      <c r="E168" s="48" t="s">
        <v>483</v>
      </c>
      <c r="F168" s="30" t="s">
        <v>188</v>
      </c>
      <c r="G168" s="47"/>
    </row>
    <row r="169" spans="1:7" ht="12.75">
      <c r="A169" s="47"/>
      <c r="B169" s="48" t="s">
        <v>484</v>
      </c>
      <c r="C169" s="48" t="s">
        <v>478</v>
      </c>
      <c r="D169" s="48" t="s">
        <v>485</v>
      </c>
      <c r="E169" s="48" t="s">
        <v>486</v>
      </c>
      <c r="F169" s="30" t="s">
        <v>188</v>
      </c>
      <c r="G169" s="47"/>
    </row>
    <row r="170" spans="1:7" ht="12.75">
      <c r="A170" s="47"/>
      <c r="B170" s="48" t="s">
        <v>487</v>
      </c>
      <c r="C170" s="48" t="s">
        <v>478</v>
      </c>
      <c r="D170" s="48" t="s">
        <v>488</v>
      </c>
      <c r="E170" s="48" t="s">
        <v>489</v>
      </c>
      <c r="F170" s="30" t="s">
        <v>188</v>
      </c>
      <c r="G170" s="47"/>
    </row>
    <row r="171" spans="1:7" ht="12.75">
      <c r="A171" s="47"/>
      <c r="B171" s="48" t="s">
        <v>490</v>
      </c>
      <c r="C171" s="48" t="s">
        <v>478</v>
      </c>
      <c r="D171" s="48" t="s">
        <v>491</v>
      </c>
      <c r="E171" s="48" t="s">
        <v>492</v>
      </c>
      <c r="F171" s="30" t="s">
        <v>188</v>
      </c>
      <c r="G171" s="47"/>
    </row>
    <row r="172" spans="1:7" ht="12.75">
      <c r="A172" s="47"/>
      <c r="B172" s="48" t="s">
        <v>493</v>
      </c>
      <c r="C172" s="48" t="s">
        <v>478</v>
      </c>
      <c r="D172" s="48" t="s">
        <v>494</v>
      </c>
      <c r="E172" s="48" t="s">
        <v>495</v>
      </c>
      <c r="F172" s="30" t="s">
        <v>188</v>
      </c>
      <c r="G172" s="47"/>
    </row>
    <row r="173" spans="1:7" ht="12.75">
      <c r="A173" s="47"/>
      <c r="B173" s="48" t="s">
        <v>496</v>
      </c>
      <c r="C173" s="48" t="s">
        <v>497</v>
      </c>
      <c r="D173" s="48" t="s">
        <v>498</v>
      </c>
      <c r="E173" s="48" t="s">
        <v>499</v>
      </c>
      <c r="F173" s="30" t="s">
        <v>188</v>
      </c>
      <c r="G173" s="47"/>
    </row>
    <row r="174" spans="1:7" ht="12.75">
      <c r="A174" s="47"/>
      <c r="B174" s="48" t="s">
        <v>474</v>
      </c>
      <c r="C174" s="48" t="s">
        <v>478</v>
      </c>
      <c r="D174" s="48" t="s">
        <v>475</v>
      </c>
      <c r="E174" s="48" t="s">
        <v>476</v>
      </c>
      <c r="F174" s="30" t="s">
        <v>188</v>
      </c>
      <c r="G174" s="47"/>
    </row>
    <row r="175" spans="1:7" ht="12.75">
      <c r="A175" s="47"/>
      <c r="B175" s="48" t="s">
        <v>500</v>
      </c>
      <c r="C175" s="48" t="s">
        <v>501</v>
      </c>
      <c r="D175" s="48" t="s">
        <v>502</v>
      </c>
      <c r="E175" s="48" t="s">
        <v>503</v>
      </c>
      <c r="F175" s="30" t="s">
        <v>188</v>
      </c>
      <c r="G175" s="47"/>
    </row>
    <row r="176" spans="1:7" ht="12.75">
      <c r="A176" s="47"/>
      <c r="B176" s="48" t="s">
        <v>504</v>
      </c>
      <c r="C176" s="48" t="s">
        <v>501</v>
      </c>
      <c r="D176" s="48" t="s">
        <v>505</v>
      </c>
      <c r="E176" s="48" t="s">
        <v>506</v>
      </c>
      <c r="F176" s="30" t="s">
        <v>188</v>
      </c>
      <c r="G176" s="47"/>
    </row>
    <row r="177" spans="1:7" ht="12.75">
      <c r="A177" s="47"/>
      <c r="B177" s="48" t="s">
        <v>507</v>
      </c>
      <c r="C177" s="48" t="s">
        <v>508</v>
      </c>
      <c r="D177" s="48" t="s">
        <v>509</v>
      </c>
      <c r="E177" s="48" t="s">
        <v>510</v>
      </c>
      <c r="F177" s="30" t="s">
        <v>188</v>
      </c>
      <c r="G177" s="47"/>
    </row>
    <row r="178" spans="1:7" ht="12.75">
      <c r="A178" s="47"/>
      <c r="B178" s="48" t="s">
        <v>511</v>
      </c>
      <c r="C178" s="48" t="s">
        <v>501</v>
      </c>
      <c r="D178" s="48" t="s">
        <v>512</v>
      </c>
      <c r="E178" s="48" t="s">
        <v>513</v>
      </c>
      <c r="F178" s="30" t="s">
        <v>188</v>
      </c>
      <c r="G178" s="47"/>
    </row>
    <row r="179" spans="1:7" ht="12.75">
      <c r="A179" s="47"/>
      <c r="B179" s="48" t="s">
        <v>514</v>
      </c>
      <c r="C179" s="48" t="s">
        <v>501</v>
      </c>
      <c r="D179" s="48" t="s">
        <v>515</v>
      </c>
      <c r="E179" s="48" t="s">
        <v>516</v>
      </c>
      <c r="F179" s="30" t="s">
        <v>188</v>
      </c>
      <c r="G179" s="47"/>
    </row>
    <row r="180" spans="1:7" ht="12.75">
      <c r="A180" s="47"/>
      <c r="B180" s="48" t="s">
        <v>517</v>
      </c>
      <c r="C180" s="48" t="s">
        <v>501</v>
      </c>
      <c r="D180" s="48" t="s">
        <v>518</v>
      </c>
      <c r="E180" s="48" t="s">
        <v>519</v>
      </c>
      <c r="F180" s="30" t="s">
        <v>188</v>
      </c>
      <c r="G180" s="47"/>
    </row>
    <row r="181" spans="1:7" ht="12.75">
      <c r="A181" s="47"/>
      <c r="B181" s="48" t="s">
        <v>520</v>
      </c>
      <c r="C181" s="48" t="s">
        <v>501</v>
      </c>
      <c r="D181" s="48" t="s">
        <v>521</v>
      </c>
      <c r="E181" s="48" t="s">
        <v>522</v>
      </c>
      <c r="F181" s="30" t="s">
        <v>188</v>
      </c>
      <c r="G181" s="47"/>
    </row>
    <row r="182" spans="1:7" ht="12.75">
      <c r="A182" s="47"/>
      <c r="B182" s="48" t="s">
        <v>523</v>
      </c>
      <c r="C182" s="48" t="s">
        <v>501</v>
      </c>
      <c r="D182" s="48" t="s">
        <v>524</v>
      </c>
      <c r="E182" s="48" t="s">
        <v>525</v>
      </c>
      <c r="F182" s="30" t="s">
        <v>188</v>
      </c>
      <c r="G182" s="47"/>
    </row>
    <row r="186" spans="1:7" ht="14.25">
      <c r="A186" s="240" t="s">
        <v>526</v>
      </c>
      <c r="B186" s="237"/>
      <c r="C186" s="237"/>
      <c r="D186" s="238"/>
    </row>
    <row r="187" spans="1:7" ht="15">
      <c r="A187" s="1"/>
      <c r="B187" s="2" t="s">
        <v>2</v>
      </c>
      <c r="C187" s="2" t="s">
        <v>3</v>
      </c>
      <c r="D187" s="3" t="s">
        <v>4</v>
      </c>
    </row>
    <row r="188" spans="1:7" ht="15">
      <c r="A188" s="200" t="s">
        <v>6</v>
      </c>
      <c r="B188" s="8">
        <f>COUNTIF(F196:F325, "NOT STARTED")</f>
        <v>27</v>
      </c>
      <c r="C188" s="9">
        <f>IFERROR(B188/B192,"")</f>
        <v>0.21951219512195122</v>
      </c>
      <c r="D188" s="241">
        <f>IFERROR(B190/B192,"")</f>
        <v>0.61788617886178865</v>
      </c>
    </row>
    <row r="189" spans="1:7" ht="15">
      <c r="A189" s="7" t="s">
        <v>7</v>
      </c>
      <c r="B189" s="8">
        <f>COUNTIF(F196:F257, "IN PROGRESS")</f>
        <v>0</v>
      </c>
      <c r="C189" s="9">
        <f>IFERROR(B189/COUNTIF(B$11:B426, ""), 0)</f>
        <v>0</v>
      </c>
      <c r="D189" s="242"/>
    </row>
    <row r="190" spans="1:7" ht="15">
      <c r="A190" s="7" t="s">
        <v>8</v>
      </c>
      <c r="B190" s="8">
        <f>COUNTIF(F196:F325, "PASSED")</f>
        <v>76</v>
      </c>
      <c r="C190" s="9">
        <f>IFERROR(B190/B192,"")</f>
        <v>0.61788617886178865</v>
      </c>
      <c r="D190" s="242"/>
    </row>
    <row r="191" spans="1:7" ht="15">
      <c r="A191" s="7" t="s">
        <v>9</v>
      </c>
      <c r="B191" s="8">
        <f>COUNTIF(F196:F325, "FAILED")</f>
        <v>20</v>
      </c>
      <c r="C191" s="9">
        <f>IFERROR(B191/B192,"")</f>
        <v>0.16260162601626016</v>
      </c>
      <c r="D191" s="242"/>
    </row>
    <row r="192" spans="1:7" ht="19.5">
      <c r="A192" s="14" t="s">
        <v>10</v>
      </c>
      <c r="B192" s="14">
        <f>SUM(B188:B191)</f>
        <v>123</v>
      </c>
      <c r="C192" s="14">
        <f>IFERROR((B192/#REF!)*100,0)</f>
        <v>0</v>
      </c>
      <c r="D192" s="243"/>
    </row>
    <row r="194" spans="1:25" ht="16.5" customHeight="1">
      <c r="A194" s="18" t="s">
        <v>11</v>
      </c>
      <c r="B194" s="18" t="s">
        <v>12</v>
      </c>
      <c r="C194" s="18" t="s">
        <v>13</v>
      </c>
      <c r="D194" s="19" t="s">
        <v>14</v>
      </c>
      <c r="E194" s="18" t="s">
        <v>15</v>
      </c>
      <c r="F194" s="21" t="s">
        <v>16</v>
      </c>
      <c r="G194" s="21" t="s">
        <v>17</v>
      </c>
    </row>
    <row r="195" spans="1:25" ht="12.75">
      <c r="A195" s="236" t="s">
        <v>529</v>
      </c>
      <c r="B195" s="237"/>
      <c r="C195" s="237"/>
      <c r="D195" s="237"/>
      <c r="E195" s="237"/>
      <c r="F195" s="237"/>
      <c r="G195" s="238"/>
    </row>
    <row r="196" spans="1:25" ht="89.25">
      <c r="A196" s="245" t="s">
        <v>530</v>
      </c>
      <c r="B196" s="25" t="s">
        <v>531</v>
      </c>
      <c r="C196" s="239" t="s">
        <v>21</v>
      </c>
      <c r="D196" s="25" t="s">
        <v>22</v>
      </c>
      <c r="E196" s="30" t="s">
        <v>23</v>
      </c>
      <c r="F196" s="30" t="s">
        <v>24</v>
      </c>
      <c r="G196" s="34"/>
    </row>
    <row r="197" spans="1:25" ht="63.75">
      <c r="A197" s="235"/>
      <c r="B197" s="25" t="s">
        <v>1556</v>
      </c>
      <c r="C197" s="235"/>
      <c r="D197" s="25" t="s">
        <v>26</v>
      </c>
      <c r="E197" s="30" t="s">
        <v>27</v>
      </c>
      <c r="F197" s="30" t="s">
        <v>24</v>
      </c>
      <c r="G197" s="34"/>
    </row>
    <row r="198" spans="1:25" ht="89.25">
      <c r="A198" s="235"/>
      <c r="B198" s="25" t="s">
        <v>532</v>
      </c>
      <c r="C198" s="235"/>
      <c r="D198" s="25" t="s">
        <v>533</v>
      </c>
      <c r="E198" s="30" t="s">
        <v>534</v>
      </c>
      <c r="F198" s="30" t="s">
        <v>24</v>
      </c>
      <c r="G198" s="34"/>
    </row>
    <row r="199" spans="1:25" ht="102">
      <c r="A199" s="235"/>
      <c r="B199" s="25" t="s">
        <v>28</v>
      </c>
      <c r="C199" s="235"/>
      <c r="D199" s="25" t="s">
        <v>29</v>
      </c>
      <c r="E199" s="49" t="s">
        <v>535</v>
      </c>
      <c r="F199" s="30" t="s">
        <v>24</v>
      </c>
      <c r="G199" s="34"/>
    </row>
    <row r="200" spans="1:25" ht="76.5">
      <c r="A200" s="235"/>
      <c r="B200" s="25" t="s">
        <v>536</v>
      </c>
      <c r="C200" s="235"/>
      <c r="D200" s="25" t="s">
        <v>537</v>
      </c>
      <c r="E200" s="30" t="s">
        <v>23</v>
      </c>
      <c r="F200" s="30" t="s">
        <v>24</v>
      </c>
      <c r="G200" s="34"/>
    </row>
    <row r="201" spans="1:25" ht="63.75">
      <c r="A201" s="235"/>
      <c r="B201" s="25" t="s">
        <v>31</v>
      </c>
      <c r="C201" s="235"/>
      <c r="D201" s="25" t="s">
        <v>32</v>
      </c>
      <c r="E201" s="30" t="s">
        <v>33</v>
      </c>
      <c r="F201" s="30" t="s">
        <v>24</v>
      </c>
      <c r="G201" s="34"/>
    </row>
    <row r="202" spans="1:25" ht="38.25">
      <c r="A202" s="235"/>
      <c r="B202" s="25" t="s">
        <v>34</v>
      </c>
      <c r="C202" s="235"/>
      <c r="D202" s="25" t="s">
        <v>35</v>
      </c>
      <c r="E202" s="30" t="s">
        <v>36</v>
      </c>
      <c r="F202" s="30" t="s">
        <v>24</v>
      </c>
      <c r="G202" s="34"/>
    </row>
    <row r="203" spans="1:25" ht="102">
      <c r="A203" s="235"/>
      <c r="B203" s="23" t="s">
        <v>538</v>
      </c>
      <c r="C203" s="235"/>
      <c r="D203" s="23" t="s">
        <v>1557</v>
      </c>
      <c r="E203" s="30" t="s">
        <v>539</v>
      </c>
      <c r="F203" s="30" t="s">
        <v>42</v>
      </c>
      <c r="G203" s="25" t="s">
        <v>2174</v>
      </c>
      <c r="H203" s="50"/>
      <c r="I203" s="50"/>
      <c r="J203" s="50"/>
      <c r="K203" s="50"/>
      <c r="L203" s="50"/>
      <c r="M203" s="50"/>
      <c r="N203" s="50"/>
      <c r="O203" s="50"/>
      <c r="P203" s="50"/>
      <c r="Q203" s="50"/>
      <c r="R203" s="50"/>
      <c r="S203" s="50"/>
      <c r="T203" s="50"/>
      <c r="U203" s="50"/>
      <c r="V203" s="50"/>
      <c r="W203" s="50"/>
      <c r="X203" s="50"/>
      <c r="Y203" s="50"/>
    </row>
    <row r="204" spans="1:25" ht="51">
      <c r="A204" s="235"/>
      <c r="B204" s="23" t="s">
        <v>540</v>
      </c>
      <c r="C204" s="235"/>
      <c r="D204" s="23" t="s">
        <v>541</v>
      </c>
      <c r="E204" s="30" t="s">
        <v>542</v>
      </c>
      <c r="F204" s="30" t="s">
        <v>24</v>
      </c>
      <c r="G204" s="34"/>
      <c r="H204" s="50"/>
      <c r="I204" s="50"/>
      <c r="J204" s="50"/>
      <c r="K204" s="50"/>
      <c r="L204" s="50"/>
      <c r="M204" s="50"/>
      <c r="N204" s="50"/>
      <c r="O204" s="50"/>
      <c r="P204" s="50"/>
      <c r="Q204" s="50"/>
      <c r="R204" s="50"/>
      <c r="S204" s="50"/>
      <c r="T204" s="50"/>
      <c r="U204" s="50"/>
      <c r="V204" s="50"/>
      <c r="W204" s="50"/>
      <c r="X204" s="50"/>
      <c r="Y204" s="50"/>
    </row>
    <row r="205" spans="1:25" ht="51">
      <c r="A205" s="235"/>
      <c r="B205" s="23" t="s">
        <v>543</v>
      </c>
      <c r="C205" s="235"/>
      <c r="D205" s="38" t="s">
        <v>544</v>
      </c>
      <c r="E205" s="30" t="s">
        <v>545</v>
      </c>
      <c r="F205" s="30" t="s">
        <v>24</v>
      </c>
      <c r="G205" s="25"/>
      <c r="H205" s="36" t="s">
        <v>2175</v>
      </c>
      <c r="I205" s="50"/>
      <c r="J205" s="50"/>
      <c r="K205" s="50"/>
      <c r="L205" s="50"/>
      <c r="M205" s="50"/>
      <c r="N205" s="50"/>
      <c r="O205" s="50"/>
      <c r="P205" s="50"/>
      <c r="Q205" s="50"/>
      <c r="R205" s="50"/>
      <c r="S205" s="50"/>
      <c r="T205" s="50"/>
      <c r="U205" s="50"/>
      <c r="V205" s="50"/>
      <c r="W205" s="50"/>
      <c r="X205" s="50"/>
      <c r="Y205" s="50"/>
    </row>
    <row r="206" spans="1:25" ht="51">
      <c r="A206" s="234"/>
      <c r="B206" s="23" t="s">
        <v>546</v>
      </c>
      <c r="C206" s="234"/>
      <c r="D206" s="38" t="s">
        <v>547</v>
      </c>
      <c r="E206" s="49" t="s">
        <v>548</v>
      </c>
      <c r="F206" s="30" t="s">
        <v>24</v>
      </c>
      <c r="G206" s="34"/>
      <c r="H206" s="50"/>
      <c r="I206" s="50"/>
      <c r="J206" s="50"/>
      <c r="K206" s="50"/>
      <c r="L206" s="50"/>
      <c r="M206" s="50"/>
      <c r="N206" s="50"/>
      <c r="O206" s="50"/>
      <c r="P206" s="50"/>
      <c r="Q206" s="50"/>
      <c r="R206" s="50"/>
      <c r="S206" s="50"/>
      <c r="T206" s="50"/>
      <c r="U206" s="50"/>
      <c r="V206" s="50"/>
      <c r="W206" s="50"/>
      <c r="X206" s="50"/>
      <c r="Y206" s="50"/>
    </row>
    <row r="207" spans="1:25" ht="12.75">
      <c r="A207" s="236" t="s">
        <v>1558</v>
      </c>
      <c r="B207" s="237"/>
      <c r="C207" s="237"/>
      <c r="D207" s="237"/>
      <c r="E207" s="237"/>
      <c r="F207" s="237"/>
      <c r="G207" s="238"/>
      <c r="H207" s="50"/>
      <c r="I207" s="50"/>
      <c r="J207" s="50"/>
      <c r="K207" s="50"/>
      <c r="L207" s="50"/>
      <c r="M207" s="50"/>
      <c r="N207" s="50"/>
      <c r="O207" s="50"/>
      <c r="P207" s="50"/>
      <c r="Q207" s="50"/>
      <c r="R207" s="50"/>
      <c r="S207" s="50"/>
      <c r="T207" s="50"/>
      <c r="U207" s="50"/>
      <c r="V207" s="50"/>
      <c r="W207" s="50"/>
      <c r="X207" s="50"/>
      <c r="Y207" s="50"/>
    </row>
    <row r="208" spans="1:25" ht="25.5">
      <c r="A208" s="245" t="s">
        <v>549</v>
      </c>
      <c r="B208" s="26" t="s">
        <v>550</v>
      </c>
      <c r="C208" s="247" t="s">
        <v>551</v>
      </c>
      <c r="D208" s="26" t="s">
        <v>552</v>
      </c>
      <c r="E208" s="23" t="s">
        <v>553</v>
      </c>
      <c r="F208" s="30" t="s">
        <v>24</v>
      </c>
      <c r="G208" s="40"/>
    </row>
    <row r="209" spans="1:7" ht="25.5">
      <c r="A209" s="235"/>
      <c r="B209" s="23" t="s">
        <v>554</v>
      </c>
      <c r="C209" s="235"/>
      <c r="D209" s="25" t="s">
        <v>555</v>
      </c>
      <c r="E209" s="23" t="s">
        <v>556</v>
      </c>
      <c r="F209" s="30" t="s">
        <v>42</v>
      </c>
      <c r="G209" s="23" t="s">
        <v>2136</v>
      </c>
    </row>
    <row r="210" spans="1:7" ht="38.25">
      <c r="A210" s="235"/>
      <c r="B210" s="26" t="s">
        <v>557</v>
      </c>
      <c r="C210" s="235"/>
      <c r="D210" s="248" t="s">
        <v>558</v>
      </c>
      <c r="E210" s="25" t="s">
        <v>559</v>
      </c>
      <c r="F210" s="30" t="s">
        <v>24</v>
      </c>
      <c r="G210" s="23" t="s">
        <v>2176</v>
      </c>
    </row>
    <row r="211" spans="1:7" ht="25.5">
      <c r="A211" s="235"/>
      <c r="B211" s="23" t="s">
        <v>560</v>
      </c>
      <c r="C211" s="235"/>
      <c r="D211" s="234"/>
      <c r="E211" s="25" t="s">
        <v>559</v>
      </c>
      <c r="F211" s="30" t="s">
        <v>24</v>
      </c>
      <c r="G211" s="23"/>
    </row>
    <row r="212" spans="1:7" ht="25.5">
      <c r="A212" s="235"/>
      <c r="B212" s="23" t="s">
        <v>561</v>
      </c>
      <c r="C212" s="235"/>
      <c r="D212" s="25" t="s">
        <v>562</v>
      </c>
      <c r="E212" s="25" t="s">
        <v>563</v>
      </c>
      <c r="F212" s="30" t="s">
        <v>24</v>
      </c>
      <c r="G212" s="23"/>
    </row>
    <row r="213" spans="1:7" ht="25.5">
      <c r="A213" s="234"/>
      <c r="B213" s="23" t="s">
        <v>564</v>
      </c>
      <c r="C213" s="234"/>
      <c r="D213" s="25" t="s">
        <v>565</v>
      </c>
      <c r="E213" s="25" t="s">
        <v>566</v>
      </c>
      <c r="F213" s="30" t="s">
        <v>24</v>
      </c>
      <c r="G213" s="23"/>
    </row>
    <row r="214" spans="1:7" ht="102">
      <c r="A214" s="245" t="s">
        <v>1559</v>
      </c>
      <c r="B214" s="26" t="s">
        <v>72</v>
      </c>
      <c r="C214" s="247" t="s">
        <v>73</v>
      </c>
      <c r="D214" s="26" t="s">
        <v>1560</v>
      </c>
      <c r="E214" s="23" t="s">
        <v>75</v>
      </c>
      <c r="F214" s="30" t="s">
        <v>42</v>
      </c>
      <c r="G214" s="23" t="s">
        <v>2054</v>
      </c>
    </row>
    <row r="215" spans="1:7" ht="76.5">
      <c r="A215" s="235"/>
      <c r="B215" s="23" t="s">
        <v>789</v>
      </c>
      <c r="C215" s="235"/>
      <c r="D215" s="25" t="s">
        <v>1562</v>
      </c>
      <c r="E215" s="25" t="s">
        <v>1563</v>
      </c>
      <c r="F215" s="30" t="s">
        <v>42</v>
      </c>
      <c r="G215" s="239" t="s">
        <v>2177</v>
      </c>
    </row>
    <row r="216" spans="1:7" ht="63.75">
      <c r="A216" s="234"/>
      <c r="B216" s="23" t="s">
        <v>76</v>
      </c>
      <c r="C216" s="234"/>
      <c r="D216" s="36" t="s">
        <v>1564</v>
      </c>
      <c r="E216" s="25" t="s">
        <v>1565</v>
      </c>
      <c r="F216" s="30" t="s">
        <v>42</v>
      </c>
      <c r="G216" s="235"/>
    </row>
    <row r="217" spans="1:7" ht="89.25">
      <c r="A217" s="29" t="s">
        <v>1567</v>
      </c>
      <c r="B217" s="23" t="s">
        <v>1568</v>
      </c>
      <c r="C217" s="30" t="s">
        <v>1569</v>
      </c>
      <c r="D217" s="25" t="s">
        <v>1570</v>
      </c>
      <c r="E217" s="23" t="s">
        <v>1571</v>
      </c>
      <c r="F217" s="30" t="s">
        <v>42</v>
      </c>
      <c r="G217" s="234"/>
    </row>
    <row r="218" spans="1:7" ht="25.5">
      <c r="A218" s="245" t="s">
        <v>567</v>
      </c>
      <c r="B218" s="25" t="s">
        <v>568</v>
      </c>
      <c r="C218" s="247" t="s">
        <v>569</v>
      </c>
      <c r="D218" s="25" t="s">
        <v>570</v>
      </c>
      <c r="E218" s="23" t="s">
        <v>571</v>
      </c>
      <c r="F218" s="30" t="s">
        <v>42</v>
      </c>
      <c r="G218" s="239" t="s">
        <v>2178</v>
      </c>
    </row>
    <row r="219" spans="1:7" ht="25.5">
      <c r="A219" s="235"/>
      <c r="B219" s="25" t="s">
        <v>572</v>
      </c>
      <c r="C219" s="235"/>
      <c r="D219" s="25" t="s">
        <v>573</v>
      </c>
      <c r="E219" s="23" t="s">
        <v>574</v>
      </c>
      <c r="F219" s="30" t="s">
        <v>42</v>
      </c>
      <c r="G219" s="235"/>
    </row>
    <row r="220" spans="1:7" ht="25.5">
      <c r="A220" s="235"/>
      <c r="B220" s="25" t="s">
        <v>575</v>
      </c>
      <c r="C220" s="235"/>
      <c r="D220" s="25" t="s">
        <v>576</v>
      </c>
      <c r="E220" s="23" t="s">
        <v>577</v>
      </c>
      <c r="F220" s="30" t="s">
        <v>42</v>
      </c>
      <c r="G220" s="235"/>
    </row>
    <row r="221" spans="1:7" ht="51">
      <c r="A221" s="235"/>
      <c r="B221" s="25" t="s">
        <v>578</v>
      </c>
      <c r="C221" s="235"/>
      <c r="D221" s="25" t="s">
        <v>579</v>
      </c>
      <c r="E221" s="23" t="s">
        <v>580</v>
      </c>
      <c r="F221" s="30" t="s">
        <v>42</v>
      </c>
      <c r="G221" s="235"/>
    </row>
    <row r="222" spans="1:7" ht="25.5">
      <c r="A222" s="235"/>
      <c r="B222" s="25" t="s">
        <v>581</v>
      </c>
      <c r="C222" s="235"/>
      <c r="D222" s="25" t="s">
        <v>582</v>
      </c>
      <c r="E222" s="23" t="s">
        <v>583</v>
      </c>
      <c r="F222" s="30" t="s">
        <v>42</v>
      </c>
      <c r="G222" s="235"/>
    </row>
    <row r="223" spans="1:7" ht="25.5">
      <c r="A223" s="235"/>
      <c r="B223" s="25" t="s">
        <v>584</v>
      </c>
      <c r="C223" s="235"/>
      <c r="D223" s="25" t="s">
        <v>585</v>
      </c>
      <c r="E223" s="23" t="s">
        <v>586</v>
      </c>
      <c r="F223" s="30" t="s">
        <v>42</v>
      </c>
      <c r="G223" s="235"/>
    </row>
    <row r="224" spans="1:7" ht="25.5">
      <c r="A224" s="235"/>
      <c r="B224" s="25" t="s">
        <v>587</v>
      </c>
      <c r="C224" s="235"/>
      <c r="D224" s="25" t="s">
        <v>588</v>
      </c>
      <c r="E224" s="23" t="s">
        <v>589</v>
      </c>
      <c r="F224" s="30" t="s">
        <v>42</v>
      </c>
      <c r="G224" s="235"/>
    </row>
    <row r="225" spans="1:7" ht="51">
      <c r="A225" s="235"/>
      <c r="B225" s="25" t="s">
        <v>590</v>
      </c>
      <c r="C225" s="235"/>
      <c r="D225" s="25" t="s">
        <v>591</v>
      </c>
      <c r="E225" s="23" t="s">
        <v>592</v>
      </c>
      <c r="F225" s="30" t="s">
        <v>42</v>
      </c>
      <c r="G225" s="235"/>
    </row>
    <row r="226" spans="1:7" ht="38.25">
      <c r="A226" s="234"/>
      <c r="B226" s="25" t="s">
        <v>593</v>
      </c>
      <c r="C226" s="234"/>
      <c r="D226" s="25" t="s">
        <v>594</v>
      </c>
      <c r="E226" s="23" t="s">
        <v>595</v>
      </c>
      <c r="F226" s="30" t="s">
        <v>42</v>
      </c>
      <c r="G226" s="234"/>
    </row>
    <row r="227" spans="1:7" ht="12.75">
      <c r="A227" s="236" t="s">
        <v>1573</v>
      </c>
      <c r="B227" s="237"/>
      <c r="C227" s="237"/>
      <c r="D227" s="237"/>
      <c r="E227" s="237"/>
      <c r="F227" s="237"/>
      <c r="G227" s="238"/>
    </row>
    <row r="228" spans="1:7" ht="38.25">
      <c r="A228" s="22" t="s">
        <v>1574</v>
      </c>
      <c r="B228" s="24" t="s">
        <v>1575</v>
      </c>
      <c r="C228" s="31" t="s">
        <v>1576</v>
      </c>
      <c r="D228" s="33" t="s">
        <v>1577</v>
      </c>
      <c r="E228" s="24" t="s">
        <v>1578</v>
      </c>
      <c r="F228" s="60" t="s">
        <v>24</v>
      </c>
      <c r="G228" s="23"/>
    </row>
    <row r="229" spans="1:7" ht="51">
      <c r="A229" s="233" t="s">
        <v>1579</v>
      </c>
      <c r="B229" s="25" t="s">
        <v>1580</v>
      </c>
      <c r="C229" s="255" t="s">
        <v>1581</v>
      </c>
      <c r="D229" s="63" t="s">
        <v>1582</v>
      </c>
      <c r="E229" s="63" t="s">
        <v>1583</v>
      </c>
      <c r="F229" s="27" t="s">
        <v>24</v>
      </c>
      <c r="G229" s="28"/>
    </row>
    <row r="230" spans="1:7" ht="51">
      <c r="A230" s="235"/>
      <c r="B230" s="25" t="s">
        <v>1584</v>
      </c>
      <c r="C230" s="235"/>
      <c r="D230" s="63" t="s">
        <v>1585</v>
      </c>
      <c r="E230" s="63" t="s">
        <v>1586</v>
      </c>
      <c r="F230" s="27" t="s">
        <v>24</v>
      </c>
      <c r="G230" s="28"/>
    </row>
    <row r="231" spans="1:7" ht="51">
      <c r="A231" s="235"/>
      <c r="B231" s="25" t="s">
        <v>1587</v>
      </c>
      <c r="C231" s="235"/>
      <c r="D231" s="63" t="s">
        <v>1588</v>
      </c>
      <c r="E231" s="63" t="s">
        <v>1589</v>
      </c>
      <c r="F231" s="27" t="s">
        <v>24</v>
      </c>
      <c r="G231" s="28"/>
    </row>
    <row r="232" spans="1:7" ht="51">
      <c r="A232" s="235"/>
      <c r="B232" s="25" t="s">
        <v>1590</v>
      </c>
      <c r="C232" s="235"/>
      <c r="D232" s="63" t="s">
        <v>1591</v>
      </c>
      <c r="E232" s="63" t="s">
        <v>1592</v>
      </c>
      <c r="F232" s="27" t="s">
        <v>24</v>
      </c>
      <c r="G232" s="28"/>
    </row>
    <row r="233" spans="1:7" ht="51">
      <c r="A233" s="235"/>
      <c r="B233" s="25" t="s">
        <v>1593</v>
      </c>
      <c r="C233" s="235"/>
      <c r="D233" s="63" t="s">
        <v>1594</v>
      </c>
      <c r="E233" s="63" t="s">
        <v>1595</v>
      </c>
      <c r="F233" s="27" t="s">
        <v>24</v>
      </c>
      <c r="G233" s="28"/>
    </row>
    <row r="234" spans="1:7" ht="63.75">
      <c r="A234" s="235"/>
      <c r="B234" s="25" t="s">
        <v>1596</v>
      </c>
      <c r="C234" s="235"/>
      <c r="D234" s="63" t="s">
        <v>1597</v>
      </c>
      <c r="E234" s="63" t="s">
        <v>1598</v>
      </c>
      <c r="F234" s="27" t="s">
        <v>24</v>
      </c>
      <c r="G234" s="28"/>
    </row>
    <row r="235" spans="1:7" ht="76.5">
      <c r="A235" s="234"/>
      <c r="B235" s="23" t="s">
        <v>1599</v>
      </c>
      <c r="C235" s="234"/>
      <c r="D235" s="23" t="s">
        <v>1600</v>
      </c>
      <c r="E235" s="23" t="s">
        <v>1601</v>
      </c>
      <c r="F235" s="30" t="s">
        <v>24</v>
      </c>
      <c r="G235" s="28"/>
    </row>
    <row r="236" spans="1:7" ht="76.5">
      <c r="A236" s="233" t="s">
        <v>1602</v>
      </c>
      <c r="B236" s="23" t="s">
        <v>1603</v>
      </c>
      <c r="C236" s="239" t="s">
        <v>1604</v>
      </c>
      <c r="D236" s="23" t="s">
        <v>1605</v>
      </c>
      <c r="E236" s="23" t="s">
        <v>1606</v>
      </c>
      <c r="F236" s="30" t="s">
        <v>24</v>
      </c>
      <c r="G236" s="23" t="s">
        <v>2179</v>
      </c>
    </row>
    <row r="237" spans="1:7" ht="76.5">
      <c r="A237" s="235"/>
      <c r="B237" s="23" t="s">
        <v>1607</v>
      </c>
      <c r="C237" s="235"/>
      <c r="D237" s="23" t="s">
        <v>1608</v>
      </c>
      <c r="E237" s="23" t="s">
        <v>1609</v>
      </c>
      <c r="F237" s="30" t="s">
        <v>24</v>
      </c>
      <c r="G237" s="23"/>
    </row>
    <row r="238" spans="1:7" ht="76.5">
      <c r="A238" s="235"/>
      <c r="B238" s="23" t="s">
        <v>1610</v>
      </c>
      <c r="C238" s="235"/>
      <c r="D238" s="23" t="s">
        <v>1608</v>
      </c>
      <c r="E238" s="23" t="s">
        <v>1611</v>
      </c>
      <c r="F238" s="30" t="s">
        <v>24</v>
      </c>
      <c r="G238" s="23"/>
    </row>
    <row r="239" spans="1:7" ht="76.5">
      <c r="A239" s="235"/>
      <c r="B239" s="23" t="s">
        <v>1612</v>
      </c>
      <c r="C239" s="235"/>
      <c r="D239" s="23" t="s">
        <v>1613</v>
      </c>
      <c r="E239" s="23" t="s">
        <v>1614</v>
      </c>
      <c r="F239" s="30" t="s">
        <v>24</v>
      </c>
      <c r="G239" s="23"/>
    </row>
    <row r="240" spans="1:7" ht="76.5">
      <c r="A240" s="235"/>
      <c r="B240" s="23" t="s">
        <v>1616</v>
      </c>
      <c r="C240" s="235"/>
      <c r="D240" s="23" t="s">
        <v>1608</v>
      </c>
      <c r="E240" s="23" t="s">
        <v>1617</v>
      </c>
      <c r="F240" s="30" t="s">
        <v>24</v>
      </c>
      <c r="G240" s="28"/>
    </row>
    <row r="241" spans="1:25" ht="76.5">
      <c r="A241" s="234"/>
      <c r="B241" s="23" t="s">
        <v>1619</v>
      </c>
      <c r="C241" s="235"/>
      <c r="D241" s="23" t="s">
        <v>1608</v>
      </c>
      <c r="E241" s="23" t="s">
        <v>1620</v>
      </c>
      <c r="F241" s="30" t="s">
        <v>24</v>
      </c>
      <c r="G241" s="23" t="s">
        <v>2145</v>
      </c>
    </row>
    <row r="242" spans="1:25" ht="51">
      <c r="A242" s="61" t="s">
        <v>1621</v>
      </c>
      <c r="B242" s="23" t="s">
        <v>1622</v>
      </c>
      <c r="C242" s="234"/>
      <c r="D242" s="63" t="s">
        <v>1623</v>
      </c>
      <c r="E242" s="63" t="s">
        <v>1624</v>
      </c>
      <c r="F242" s="27" t="s">
        <v>42</v>
      </c>
      <c r="G242" s="23" t="s">
        <v>2146</v>
      </c>
    </row>
    <row r="243" spans="1:25" ht="12.75">
      <c r="A243" s="263" t="s">
        <v>1626</v>
      </c>
      <c r="B243" s="260"/>
      <c r="C243" s="260"/>
      <c r="D243" s="260"/>
      <c r="E243" s="260"/>
      <c r="F243" s="260"/>
      <c r="G243" s="264"/>
    </row>
    <row r="244" spans="1:25" ht="89.25">
      <c r="A244" s="61" t="s">
        <v>1627</v>
      </c>
      <c r="B244" s="24" t="s">
        <v>1628</v>
      </c>
      <c r="C244" s="33" t="s">
        <v>1629</v>
      </c>
      <c r="D244" s="62" t="s">
        <v>1630</v>
      </c>
      <c r="E244" s="62" t="s">
        <v>1631</v>
      </c>
      <c r="F244" s="60" t="s">
        <v>24</v>
      </c>
      <c r="G244" s="25"/>
    </row>
    <row r="245" spans="1:25" ht="51">
      <c r="A245" s="61" t="s">
        <v>1632</v>
      </c>
      <c r="B245" s="24" t="s">
        <v>1633</v>
      </c>
      <c r="C245" s="24" t="s">
        <v>1634</v>
      </c>
      <c r="D245" s="62" t="s">
        <v>1635</v>
      </c>
      <c r="E245" s="62" t="s">
        <v>1636</v>
      </c>
      <c r="F245" s="60" t="s">
        <v>24</v>
      </c>
      <c r="G245" s="25"/>
    </row>
    <row r="246" spans="1:25" ht="165.75">
      <c r="A246" s="61" t="s">
        <v>1637</v>
      </c>
      <c r="B246" s="24" t="s">
        <v>1638</v>
      </c>
      <c r="C246" s="239" t="s">
        <v>1639</v>
      </c>
      <c r="D246" s="62" t="s">
        <v>1640</v>
      </c>
      <c r="E246" s="62" t="s">
        <v>1641</v>
      </c>
      <c r="F246" s="60" t="s">
        <v>42</v>
      </c>
      <c r="G246" s="23" t="s">
        <v>2180</v>
      </c>
    </row>
    <row r="247" spans="1:25" ht="89.25">
      <c r="A247" s="61" t="s">
        <v>1642</v>
      </c>
      <c r="B247" s="24" t="s">
        <v>1643</v>
      </c>
      <c r="C247" s="235"/>
      <c r="D247" s="62" t="s">
        <v>1644</v>
      </c>
      <c r="E247" s="62" t="s">
        <v>1645</v>
      </c>
      <c r="F247" s="60" t="s">
        <v>24</v>
      </c>
      <c r="G247" s="25"/>
    </row>
    <row r="248" spans="1:25" ht="12.75">
      <c r="A248" s="265" t="s">
        <v>1646</v>
      </c>
      <c r="B248" s="260"/>
      <c r="C248" s="260"/>
      <c r="D248" s="260"/>
      <c r="E248" s="260"/>
      <c r="F248" s="260"/>
      <c r="G248" s="264"/>
    </row>
    <row r="249" spans="1:25" ht="51">
      <c r="A249" s="61" t="s">
        <v>1647</v>
      </c>
      <c r="B249" s="24" t="s">
        <v>1648</v>
      </c>
      <c r="C249" s="33" t="s">
        <v>1629</v>
      </c>
      <c r="D249" s="23" t="s">
        <v>1649</v>
      </c>
      <c r="E249" s="62" t="s">
        <v>1650</v>
      </c>
      <c r="F249" s="60" t="s">
        <v>24</v>
      </c>
      <c r="G249" s="57"/>
    </row>
    <row r="250" spans="1:25" ht="51">
      <c r="A250" s="61" t="s">
        <v>1651</v>
      </c>
      <c r="B250" s="24" t="s">
        <v>1652</v>
      </c>
      <c r="C250" s="24" t="s">
        <v>1653</v>
      </c>
      <c r="D250" s="62" t="s">
        <v>1654</v>
      </c>
      <c r="E250" s="62" t="s">
        <v>1655</v>
      </c>
      <c r="F250" s="60" t="s">
        <v>24</v>
      </c>
      <c r="G250" s="57"/>
    </row>
    <row r="251" spans="1:25" ht="51">
      <c r="A251" s="61" t="s">
        <v>1656</v>
      </c>
      <c r="B251" s="24" t="s">
        <v>1657</v>
      </c>
      <c r="C251" s="89" t="s">
        <v>1658</v>
      </c>
      <c r="D251" s="62" t="s">
        <v>1659</v>
      </c>
      <c r="E251" s="62" t="s">
        <v>1660</v>
      </c>
      <c r="F251" s="60" t="s">
        <v>24</v>
      </c>
      <c r="G251" s="57"/>
      <c r="H251" s="42" t="s">
        <v>2150</v>
      </c>
    </row>
    <row r="252" spans="1:25" ht="76.5">
      <c r="A252" s="61" t="s">
        <v>1661</v>
      </c>
      <c r="B252" s="24" t="s">
        <v>1662</v>
      </c>
      <c r="C252" s="89" t="s">
        <v>1663</v>
      </c>
      <c r="D252" s="62" t="s">
        <v>1664</v>
      </c>
      <c r="E252" s="62" t="s">
        <v>1665</v>
      </c>
      <c r="F252" s="60" t="s">
        <v>24</v>
      </c>
      <c r="G252" s="57"/>
    </row>
    <row r="253" spans="1:25" ht="12.75">
      <c r="A253" s="236" t="s">
        <v>1723</v>
      </c>
      <c r="B253" s="237"/>
      <c r="C253" s="237"/>
      <c r="D253" s="237"/>
      <c r="E253" s="237"/>
      <c r="F253" s="237"/>
      <c r="G253" s="238"/>
      <c r="H253" s="39"/>
      <c r="I253" s="39"/>
      <c r="J253" s="39"/>
      <c r="K253" s="39"/>
      <c r="L253" s="39"/>
      <c r="M253" s="39"/>
      <c r="N253" s="39"/>
      <c r="O253" s="39"/>
      <c r="P253" s="39"/>
      <c r="Q253" s="39"/>
      <c r="R253" s="39"/>
      <c r="S253" s="39"/>
      <c r="T253" s="39"/>
      <c r="U253" s="39"/>
      <c r="V253" s="39"/>
      <c r="W253" s="39"/>
      <c r="X253" s="39"/>
      <c r="Y253" s="39"/>
    </row>
    <row r="254" spans="1:25" ht="25.5">
      <c r="A254" s="233" t="s">
        <v>1724</v>
      </c>
      <c r="B254" s="25" t="s">
        <v>1725</v>
      </c>
      <c r="C254" s="239" t="s">
        <v>1726</v>
      </c>
      <c r="D254" s="25" t="s">
        <v>1727</v>
      </c>
      <c r="E254" s="25" t="s">
        <v>1728</v>
      </c>
      <c r="F254" s="27" t="s">
        <v>24</v>
      </c>
      <c r="G254" s="28"/>
    </row>
    <row r="255" spans="1:25" ht="12.75">
      <c r="A255" s="235"/>
      <c r="B255" s="25" t="s">
        <v>1729</v>
      </c>
      <c r="C255" s="235"/>
      <c r="D255" s="57" t="s">
        <v>1730</v>
      </c>
      <c r="E255" s="25" t="s">
        <v>1731</v>
      </c>
      <c r="F255" s="27" t="s">
        <v>24</v>
      </c>
      <c r="G255" s="28"/>
    </row>
    <row r="256" spans="1:25" ht="38.25">
      <c r="A256" s="235"/>
      <c r="B256" s="25" t="s">
        <v>1732</v>
      </c>
      <c r="C256" s="235"/>
      <c r="D256" s="25" t="s">
        <v>1733</v>
      </c>
      <c r="E256" s="25" t="s">
        <v>1734</v>
      </c>
      <c r="F256" s="27" t="s">
        <v>24</v>
      </c>
      <c r="G256" s="28"/>
    </row>
    <row r="257" spans="1:7" ht="63.75">
      <c r="A257" s="234"/>
      <c r="B257" s="25" t="s">
        <v>1735</v>
      </c>
      <c r="C257" s="234"/>
      <c r="D257" s="90" t="s">
        <v>1736</v>
      </c>
      <c r="E257" s="25" t="s">
        <v>1737</v>
      </c>
      <c r="F257" s="27" t="s">
        <v>24</v>
      </c>
      <c r="G257" s="28"/>
    </row>
    <row r="258" spans="1:7" ht="12.75">
      <c r="A258" s="236" t="s">
        <v>608</v>
      </c>
      <c r="B258" s="237"/>
      <c r="C258" s="237"/>
      <c r="D258" s="237"/>
      <c r="E258" s="237"/>
      <c r="F258" s="237"/>
      <c r="G258" s="238"/>
    </row>
    <row r="259" spans="1:7" ht="76.5">
      <c r="A259" s="51"/>
      <c r="B259" s="52" t="s">
        <v>609</v>
      </c>
      <c r="C259" s="52" t="s">
        <v>610</v>
      </c>
      <c r="D259" s="52" t="s">
        <v>611</v>
      </c>
      <c r="E259" s="52" t="s">
        <v>612</v>
      </c>
      <c r="F259" s="27" t="s">
        <v>42</v>
      </c>
      <c r="G259" s="53" t="s">
        <v>2053</v>
      </c>
    </row>
    <row r="260" spans="1:7" ht="76.5">
      <c r="A260" s="51"/>
      <c r="B260" s="52" t="s">
        <v>613</v>
      </c>
      <c r="C260" s="52" t="s">
        <v>614</v>
      </c>
      <c r="D260" s="52" t="s">
        <v>320</v>
      </c>
      <c r="E260" s="52" t="s">
        <v>615</v>
      </c>
      <c r="F260" s="27" t="s">
        <v>24</v>
      </c>
      <c r="G260" s="53" t="s">
        <v>616</v>
      </c>
    </row>
    <row r="261" spans="1:7" ht="153">
      <c r="A261" s="51"/>
      <c r="B261" s="52" t="s">
        <v>617</v>
      </c>
      <c r="C261" s="52" t="s">
        <v>618</v>
      </c>
      <c r="D261" s="52" t="s">
        <v>619</v>
      </c>
      <c r="E261" s="52" t="s">
        <v>620</v>
      </c>
      <c r="F261" s="27" t="s">
        <v>24</v>
      </c>
      <c r="G261" s="53"/>
    </row>
    <row r="262" spans="1:7" ht="102">
      <c r="A262" s="51"/>
      <c r="B262" s="54" t="s">
        <v>621</v>
      </c>
      <c r="C262" s="52" t="s">
        <v>622</v>
      </c>
      <c r="D262" s="54" t="s">
        <v>623</v>
      </c>
      <c r="E262" s="54" t="s">
        <v>624</v>
      </c>
      <c r="F262" s="27" t="s">
        <v>24</v>
      </c>
      <c r="G262" s="199"/>
    </row>
    <row r="263" spans="1:7" ht="102">
      <c r="A263" s="51"/>
      <c r="B263" s="54" t="s">
        <v>625</v>
      </c>
      <c r="C263" s="52" t="s">
        <v>622</v>
      </c>
      <c r="D263" s="54" t="s">
        <v>626</v>
      </c>
      <c r="E263" s="54" t="s">
        <v>627</v>
      </c>
      <c r="F263" s="27" t="s">
        <v>24</v>
      </c>
      <c r="G263" s="199"/>
    </row>
    <row r="264" spans="1:7" ht="102">
      <c r="A264" s="51"/>
      <c r="B264" s="54" t="s">
        <v>628</v>
      </c>
      <c r="C264" s="52" t="s">
        <v>622</v>
      </c>
      <c r="D264" s="54" t="s">
        <v>629</v>
      </c>
      <c r="E264" s="54" t="s">
        <v>630</v>
      </c>
      <c r="F264" s="27" t="s">
        <v>24</v>
      </c>
      <c r="G264" s="199"/>
    </row>
    <row r="265" spans="1:7" ht="102">
      <c r="A265" s="51"/>
      <c r="B265" s="54" t="s">
        <v>631</v>
      </c>
      <c r="C265" s="52" t="s">
        <v>622</v>
      </c>
      <c r="D265" s="54" t="s">
        <v>632</v>
      </c>
      <c r="E265" s="54" t="s">
        <v>633</v>
      </c>
      <c r="F265" s="27" t="s">
        <v>24</v>
      </c>
      <c r="G265" s="53"/>
    </row>
    <row r="266" spans="1:7" ht="102">
      <c r="A266" s="53"/>
      <c r="B266" s="54" t="s">
        <v>634</v>
      </c>
      <c r="C266" s="52" t="s">
        <v>622</v>
      </c>
      <c r="D266" s="54" t="s">
        <v>635</v>
      </c>
      <c r="E266" s="54" t="s">
        <v>636</v>
      </c>
      <c r="F266" s="27" t="s">
        <v>24</v>
      </c>
      <c r="G266" s="199"/>
    </row>
    <row r="267" spans="1:7" ht="102">
      <c r="A267" s="51"/>
      <c r="B267" s="54" t="s">
        <v>637</v>
      </c>
      <c r="C267" s="52" t="s">
        <v>622</v>
      </c>
      <c r="D267" s="54" t="s">
        <v>638</v>
      </c>
      <c r="E267" s="54" t="s">
        <v>639</v>
      </c>
      <c r="F267" s="27" t="s">
        <v>24</v>
      </c>
      <c r="G267" s="199"/>
    </row>
    <row r="268" spans="1:7" ht="102">
      <c r="A268" s="28"/>
      <c r="B268" s="55" t="s">
        <v>640</v>
      </c>
      <c r="C268" s="56" t="s">
        <v>622</v>
      </c>
      <c r="D268" s="55" t="s">
        <v>641</v>
      </c>
      <c r="E268" s="55" t="s">
        <v>642</v>
      </c>
      <c r="F268" s="27" t="s">
        <v>24</v>
      </c>
      <c r="G268" s="41"/>
    </row>
    <row r="269" spans="1:7" ht="102">
      <c r="A269" s="28"/>
      <c r="B269" s="55" t="s">
        <v>643</v>
      </c>
      <c r="C269" s="56" t="s">
        <v>622</v>
      </c>
      <c r="D269" s="55" t="s">
        <v>644</v>
      </c>
      <c r="E269" s="55" t="s">
        <v>645</v>
      </c>
      <c r="F269" s="27" t="s">
        <v>24</v>
      </c>
      <c r="G269" s="41"/>
    </row>
    <row r="270" spans="1:7" ht="102">
      <c r="A270" s="28"/>
      <c r="B270" s="55" t="s">
        <v>646</v>
      </c>
      <c r="C270" s="56" t="s">
        <v>622</v>
      </c>
      <c r="D270" s="55" t="s">
        <v>647</v>
      </c>
      <c r="E270" s="55" t="s">
        <v>648</v>
      </c>
      <c r="F270" s="27" t="s">
        <v>42</v>
      </c>
      <c r="G270" s="41" t="s">
        <v>649</v>
      </c>
    </row>
    <row r="271" spans="1:7" ht="102">
      <c r="A271" s="28"/>
      <c r="B271" s="55" t="s">
        <v>650</v>
      </c>
      <c r="C271" s="56" t="s">
        <v>622</v>
      </c>
      <c r="D271" s="55" t="s">
        <v>651</v>
      </c>
      <c r="E271" s="55" t="s">
        <v>652</v>
      </c>
      <c r="F271" s="27" t="s">
        <v>42</v>
      </c>
      <c r="G271" s="41" t="s">
        <v>653</v>
      </c>
    </row>
    <row r="272" spans="1:7" ht="140.25">
      <c r="A272" s="28"/>
      <c r="B272" s="56" t="s">
        <v>654</v>
      </c>
      <c r="C272" s="56" t="s">
        <v>655</v>
      </c>
      <c r="D272" s="56" t="s">
        <v>656</v>
      </c>
      <c r="E272" s="56" t="s">
        <v>657</v>
      </c>
      <c r="F272" s="27" t="s">
        <v>24</v>
      </c>
      <c r="G272" s="41"/>
    </row>
    <row r="273" spans="1:7" ht="165.75">
      <c r="A273" s="28"/>
      <c r="B273" s="55" t="s">
        <v>658</v>
      </c>
      <c r="C273" s="56" t="s">
        <v>659</v>
      </c>
      <c r="D273" s="55" t="s">
        <v>660</v>
      </c>
      <c r="E273" s="55" t="s">
        <v>661</v>
      </c>
      <c r="F273" s="27" t="s">
        <v>24</v>
      </c>
      <c r="G273" s="41"/>
    </row>
    <row r="274" spans="1:7" ht="51">
      <c r="A274" s="28"/>
      <c r="B274" s="56" t="s">
        <v>662</v>
      </c>
      <c r="C274" s="56" t="s">
        <v>663</v>
      </c>
      <c r="D274" s="56" t="s">
        <v>664</v>
      </c>
      <c r="E274" s="56" t="s">
        <v>665</v>
      </c>
      <c r="F274" s="27" t="s">
        <v>24</v>
      </c>
      <c r="G274" s="36"/>
    </row>
    <row r="275" spans="1:7" ht="76.5">
      <c r="A275" s="28"/>
      <c r="B275" s="56" t="s">
        <v>666</v>
      </c>
      <c r="C275" s="56" t="s">
        <v>667</v>
      </c>
      <c r="D275" s="56" t="s">
        <v>668</v>
      </c>
      <c r="E275" s="56" t="s">
        <v>669</v>
      </c>
      <c r="F275" s="27" t="s">
        <v>24</v>
      </c>
      <c r="G275" s="57"/>
    </row>
    <row r="276" spans="1:7" ht="76.5">
      <c r="A276" s="28"/>
      <c r="B276" s="56" t="s">
        <v>670</v>
      </c>
      <c r="C276" s="56" t="s">
        <v>667</v>
      </c>
      <c r="D276" s="56" t="s">
        <v>671</v>
      </c>
      <c r="E276" s="56" t="s">
        <v>672</v>
      </c>
      <c r="F276" s="27" t="s">
        <v>24</v>
      </c>
      <c r="G276" s="57"/>
    </row>
    <row r="277" spans="1:7" ht="76.5">
      <c r="A277" s="28"/>
      <c r="B277" s="56" t="s">
        <v>673</v>
      </c>
      <c r="C277" s="56" t="s">
        <v>667</v>
      </c>
      <c r="D277" s="56" t="s">
        <v>674</v>
      </c>
      <c r="E277" s="56" t="s">
        <v>675</v>
      </c>
      <c r="F277" s="27" t="s">
        <v>24</v>
      </c>
      <c r="G277" s="57"/>
    </row>
    <row r="278" spans="1:7" ht="76.5">
      <c r="A278" s="28"/>
      <c r="B278" s="56" t="s">
        <v>676</v>
      </c>
      <c r="C278" s="56" t="s">
        <v>667</v>
      </c>
      <c r="D278" s="56" t="s">
        <v>677</v>
      </c>
      <c r="E278" s="56" t="s">
        <v>678</v>
      </c>
      <c r="F278" s="27" t="s">
        <v>24</v>
      </c>
      <c r="G278" s="27" t="s">
        <v>2181</v>
      </c>
    </row>
    <row r="279" spans="1:7" ht="76.5">
      <c r="A279" s="28"/>
      <c r="B279" s="56" t="s">
        <v>679</v>
      </c>
      <c r="C279" s="56" t="s">
        <v>667</v>
      </c>
      <c r="D279" s="56" t="s">
        <v>680</v>
      </c>
      <c r="E279" s="56" t="s">
        <v>681</v>
      </c>
      <c r="F279" s="27" t="s">
        <v>24</v>
      </c>
      <c r="G279" s="57"/>
    </row>
    <row r="280" spans="1:7" ht="76.5">
      <c r="A280" s="28"/>
      <c r="B280" s="56" t="s">
        <v>682</v>
      </c>
      <c r="C280" s="56" t="s">
        <v>667</v>
      </c>
      <c r="D280" s="56" t="s">
        <v>683</v>
      </c>
      <c r="E280" s="56" t="s">
        <v>684</v>
      </c>
      <c r="F280" s="27" t="s">
        <v>24</v>
      </c>
      <c r="G280" s="57"/>
    </row>
    <row r="281" spans="1:7" ht="76.5">
      <c r="A281" s="28"/>
      <c r="B281" s="56" t="s">
        <v>685</v>
      </c>
      <c r="C281" s="56" t="s">
        <v>667</v>
      </c>
      <c r="D281" s="56" t="s">
        <v>686</v>
      </c>
      <c r="E281" s="56" t="s">
        <v>687</v>
      </c>
      <c r="F281" s="27" t="s">
        <v>24</v>
      </c>
      <c r="G281" s="57"/>
    </row>
    <row r="282" spans="1:7" ht="102">
      <c r="A282" s="28"/>
      <c r="B282" s="56" t="s">
        <v>688</v>
      </c>
      <c r="C282" s="56" t="s">
        <v>689</v>
      </c>
      <c r="D282" s="56" t="s">
        <v>690</v>
      </c>
      <c r="E282" s="56" t="s">
        <v>691</v>
      </c>
      <c r="F282" s="27" t="s">
        <v>24</v>
      </c>
      <c r="G282" s="57"/>
    </row>
    <row r="283" spans="1:7" ht="102">
      <c r="A283" s="28"/>
      <c r="B283" s="56" t="s">
        <v>692</v>
      </c>
      <c r="C283" s="56" t="s">
        <v>693</v>
      </c>
      <c r="D283" s="56" t="s">
        <v>694</v>
      </c>
      <c r="E283" s="56" t="s">
        <v>695</v>
      </c>
      <c r="F283" s="27" t="s">
        <v>24</v>
      </c>
      <c r="G283" s="57"/>
    </row>
    <row r="284" spans="1:7" ht="12.75">
      <c r="A284" s="28"/>
      <c r="B284" s="55" t="s">
        <v>696</v>
      </c>
      <c r="C284" s="55" t="s">
        <v>697</v>
      </c>
      <c r="D284" s="55" t="s">
        <v>698</v>
      </c>
      <c r="E284" s="55" t="s">
        <v>699</v>
      </c>
      <c r="F284" s="27" t="s">
        <v>24</v>
      </c>
      <c r="G284" s="57"/>
    </row>
    <row r="285" spans="1:7" ht="12.75">
      <c r="A285" s="28"/>
      <c r="B285" s="55" t="s">
        <v>700</v>
      </c>
      <c r="C285" s="55" t="s">
        <v>729</v>
      </c>
      <c r="D285" s="55" t="s">
        <v>701</v>
      </c>
      <c r="E285" s="55" t="s">
        <v>702</v>
      </c>
      <c r="F285" s="27" t="s">
        <v>24</v>
      </c>
      <c r="G285" s="57"/>
    </row>
    <row r="286" spans="1:7" ht="12.75">
      <c r="A286" s="28"/>
      <c r="B286" s="55" t="s">
        <v>703</v>
      </c>
      <c r="C286" s="55" t="s">
        <v>704</v>
      </c>
      <c r="D286" s="55" t="s">
        <v>705</v>
      </c>
      <c r="E286" s="55" t="s">
        <v>706</v>
      </c>
      <c r="F286" s="27" t="s">
        <v>24</v>
      </c>
      <c r="G286" s="57"/>
    </row>
    <row r="287" spans="1:7" ht="12.75">
      <c r="A287" s="28"/>
      <c r="B287" s="55" t="s">
        <v>707</v>
      </c>
      <c r="C287" s="55" t="s">
        <v>704</v>
      </c>
      <c r="D287" s="55" t="s">
        <v>708</v>
      </c>
      <c r="E287" s="55" t="s">
        <v>709</v>
      </c>
      <c r="F287" s="27" t="s">
        <v>24</v>
      </c>
      <c r="G287" s="57"/>
    </row>
    <row r="288" spans="1:7" ht="12.75">
      <c r="A288" s="28"/>
      <c r="B288" s="55" t="s">
        <v>710</v>
      </c>
      <c r="C288" s="55" t="s">
        <v>711</v>
      </c>
      <c r="D288" s="55" t="s">
        <v>712</v>
      </c>
      <c r="E288" s="55" t="s">
        <v>713</v>
      </c>
      <c r="F288" s="27" t="s">
        <v>24</v>
      </c>
      <c r="G288" s="57"/>
    </row>
    <row r="289" spans="1:7" ht="12.75">
      <c r="A289" s="28"/>
      <c r="B289" s="55" t="s">
        <v>714</v>
      </c>
      <c r="C289" s="55" t="s">
        <v>704</v>
      </c>
      <c r="D289" s="55" t="s">
        <v>715</v>
      </c>
      <c r="E289" s="55" t="s">
        <v>716</v>
      </c>
      <c r="F289" s="27" t="s">
        <v>24</v>
      </c>
      <c r="G289" s="57"/>
    </row>
    <row r="290" spans="1:7" ht="114.75">
      <c r="A290" s="28"/>
      <c r="B290" s="56" t="s">
        <v>717</v>
      </c>
      <c r="C290" s="56" t="s">
        <v>718</v>
      </c>
      <c r="D290" s="56" t="s">
        <v>719</v>
      </c>
      <c r="E290" s="56" t="s">
        <v>720</v>
      </c>
      <c r="F290" s="27" t="s">
        <v>24</v>
      </c>
      <c r="G290" s="57"/>
    </row>
    <row r="291" spans="1:7" ht="127.5">
      <c r="A291" s="28"/>
      <c r="B291" s="56" t="s">
        <v>721</v>
      </c>
      <c r="C291" s="56" t="s">
        <v>722</v>
      </c>
      <c r="D291" s="56" t="s">
        <v>723</v>
      </c>
      <c r="E291" s="56" t="s">
        <v>724</v>
      </c>
      <c r="F291" s="27" t="s">
        <v>24</v>
      </c>
      <c r="G291" s="57"/>
    </row>
    <row r="292" spans="1:7" ht="127.5">
      <c r="A292" s="28"/>
      <c r="B292" s="56" t="s">
        <v>725</v>
      </c>
      <c r="C292" s="56" t="s">
        <v>722</v>
      </c>
      <c r="D292" s="56" t="s">
        <v>726</v>
      </c>
      <c r="E292" s="56" t="s">
        <v>727</v>
      </c>
      <c r="F292" s="27" t="s">
        <v>24</v>
      </c>
      <c r="G292" s="57"/>
    </row>
    <row r="293" spans="1:7" ht="12.75">
      <c r="A293" s="28"/>
      <c r="B293" s="55" t="s">
        <v>728</v>
      </c>
      <c r="C293" s="55" t="s">
        <v>729</v>
      </c>
      <c r="D293" s="55" t="s">
        <v>730</v>
      </c>
      <c r="E293" s="55" t="s">
        <v>731</v>
      </c>
      <c r="F293" s="27" t="s">
        <v>24</v>
      </c>
      <c r="G293" s="57"/>
    </row>
    <row r="294" spans="1:7" ht="89.25">
      <c r="A294" s="28"/>
      <c r="B294" s="55" t="s">
        <v>732</v>
      </c>
      <c r="C294" s="56" t="s">
        <v>729</v>
      </c>
      <c r="D294" s="56" t="s">
        <v>730</v>
      </c>
      <c r="E294" s="56" t="s">
        <v>733</v>
      </c>
      <c r="F294" s="27" t="s">
        <v>24</v>
      </c>
      <c r="G294" s="57"/>
    </row>
    <row r="295" spans="1:7" ht="127.5">
      <c r="A295" s="28"/>
      <c r="B295" s="56" t="s">
        <v>734</v>
      </c>
      <c r="C295" s="56" t="s">
        <v>729</v>
      </c>
      <c r="D295" s="56" t="s">
        <v>735</v>
      </c>
      <c r="E295" s="56" t="s">
        <v>736</v>
      </c>
      <c r="F295" s="27" t="s">
        <v>24</v>
      </c>
      <c r="G295" s="57"/>
    </row>
    <row r="296" spans="1:7" ht="38.25">
      <c r="A296" s="28"/>
      <c r="B296" s="56" t="s">
        <v>737</v>
      </c>
      <c r="C296" s="56" t="s">
        <v>738</v>
      </c>
      <c r="D296" s="56" t="s">
        <v>739</v>
      </c>
      <c r="E296" s="56" t="s">
        <v>740</v>
      </c>
      <c r="F296" s="27" t="s">
        <v>24</v>
      </c>
      <c r="G296" s="57"/>
    </row>
    <row r="297" spans="1:7" ht="76.5">
      <c r="A297" s="28"/>
      <c r="B297" s="56" t="s">
        <v>741</v>
      </c>
      <c r="C297" s="56" t="s">
        <v>742</v>
      </c>
      <c r="D297" s="56" t="s">
        <v>743</v>
      </c>
      <c r="E297" s="56" t="s">
        <v>744</v>
      </c>
      <c r="F297" s="27" t="s">
        <v>24</v>
      </c>
      <c r="G297" s="57"/>
    </row>
    <row r="298" spans="1:7" ht="12.75">
      <c r="A298" s="236" t="s">
        <v>2158</v>
      </c>
      <c r="B298" s="237"/>
      <c r="C298" s="237"/>
      <c r="D298" s="237"/>
      <c r="E298" s="237"/>
      <c r="F298" s="237"/>
      <c r="G298" s="238"/>
    </row>
    <row r="299" spans="1:7" ht="114.75">
      <c r="A299" s="28"/>
      <c r="B299" s="43" t="s">
        <v>745</v>
      </c>
      <c r="C299" s="43" t="s">
        <v>746</v>
      </c>
      <c r="D299" s="43" t="s">
        <v>747</v>
      </c>
      <c r="E299" s="43" t="s">
        <v>748</v>
      </c>
      <c r="F299" s="27" t="s">
        <v>188</v>
      </c>
      <c r="G299" s="28"/>
    </row>
    <row r="300" spans="1:7" ht="51">
      <c r="A300" s="28"/>
      <c r="B300" s="43" t="s">
        <v>749</v>
      </c>
      <c r="C300" s="43" t="s">
        <v>750</v>
      </c>
      <c r="D300" s="43" t="s">
        <v>751</v>
      </c>
      <c r="E300" s="43" t="s">
        <v>752</v>
      </c>
      <c r="F300" s="27" t="s">
        <v>188</v>
      </c>
      <c r="G300" s="28"/>
    </row>
    <row r="301" spans="1:7" ht="102">
      <c r="A301" s="28"/>
      <c r="B301" s="43" t="s">
        <v>753</v>
      </c>
      <c r="C301" s="43" t="s">
        <v>750</v>
      </c>
      <c r="D301" s="43" t="s">
        <v>754</v>
      </c>
      <c r="E301" s="43" t="s">
        <v>755</v>
      </c>
      <c r="F301" s="27" t="s">
        <v>188</v>
      </c>
      <c r="G301" s="28"/>
    </row>
    <row r="302" spans="1:7" ht="140.25">
      <c r="A302" s="28"/>
      <c r="B302" s="43" t="s">
        <v>756</v>
      </c>
      <c r="C302" s="43" t="s">
        <v>750</v>
      </c>
      <c r="D302" s="43" t="s">
        <v>757</v>
      </c>
      <c r="E302" s="43" t="s">
        <v>758</v>
      </c>
      <c r="F302" s="27" t="s">
        <v>188</v>
      </c>
      <c r="G302" s="28"/>
    </row>
    <row r="303" spans="1:7" ht="76.5">
      <c r="A303" s="28"/>
      <c r="B303" s="43" t="s">
        <v>759</v>
      </c>
      <c r="C303" s="43" t="s">
        <v>760</v>
      </c>
      <c r="D303" s="43" t="s">
        <v>761</v>
      </c>
      <c r="E303" s="43" t="s">
        <v>762</v>
      </c>
      <c r="F303" s="27" t="s">
        <v>188</v>
      </c>
      <c r="G303" s="28"/>
    </row>
    <row r="304" spans="1:7" ht="76.5">
      <c r="A304" s="28"/>
      <c r="B304" s="43" t="s">
        <v>763</v>
      </c>
      <c r="C304" s="43" t="s">
        <v>760</v>
      </c>
      <c r="D304" s="43" t="s">
        <v>764</v>
      </c>
      <c r="E304" s="43" t="s">
        <v>765</v>
      </c>
      <c r="F304" s="27" t="s">
        <v>188</v>
      </c>
      <c r="G304" s="28"/>
    </row>
    <row r="305" spans="1:7" ht="76.5">
      <c r="A305" s="28"/>
      <c r="B305" s="43" t="s">
        <v>766</v>
      </c>
      <c r="C305" s="43" t="s">
        <v>760</v>
      </c>
      <c r="D305" s="43" t="s">
        <v>767</v>
      </c>
      <c r="E305" s="43" t="s">
        <v>768</v>
      </c>
      <c r="F305" s="27" t="s">
        <v>188</v>
      </c>
      <c r="G305" s="28"/>
    </row>
    <row r="306" spans="1:7" ht="102">
      <c r="A306" s="28"/>
      <c r="B306" s="43" t="s">
        <v>769</v>
      </c>
      <c r="C306" s="43" t="s">
        <v>770</v>
      </c>
      <c r="D306" s="43" t="s">
        <v>771</v>
      </c>
      <c r="E306" s="43" t="s">
        <v>772</v>
      </c>
      <c r="F306" s="27" t="s">
        <v>188</v>
      </c>
      <c r="G306" s="28"/>
    </row>
    <row r="307" spans="1:7" ht="127.5">
      <c r="A307" s="28"/>
      <c r="B307" s="43" t="s">
        <v>773</v>
      </c>
      <c r="C307" s="43" t="s">
        <v>774</v>
      </c>
      <c r="D307" s="43" t="s">
        <v>775</v>
      </c>
      <c r="E307" s="43" t="s">
        <v>776</v>
      </c>
      <c r="F307" s="27" t="s">
        <v>188</v>
      </c>
      <c r="G307" s="28"/>
    </row>
    <row r="308" spans="1:7" ht="76.5">
      <c r="A308" s="28"/>
      <c r="B308" s="43" t="s">
        <v>777</v>
      </c>
      <c r="C308" s="43" t="s">
        <v>760</v>
      </c>
      <c r="D308" s="43" t="s">
        <v>778</v>
      </c>
      <c r="E308" s="43" t="s">
        <v>779</v>
      </c>
      <c r="F308" s="27" t="s">
        <v>188</v>
      </c>
      <c r="G308" s="28"/>
    </row>
    <row r="309" spans="1:7" ht="127.5">
      <c r="A309" s="28"/>
      <c r="B309" s="43" t="s">
        <v>780</v>
      </c>
      <c r="C309" s="43" t="s">
        <v>2055</v>
      </c>
      <c r="D309" s="43" t="s">
        <v>2056</v>
      </c>
      <c r="E309" s="43" t="s">
        <v>781</v>
      </c>
      <c r="F309" s="27" t="s">
        <v>188</v>
      </c>
      <c r="G309" s="28"/>
    </row>
    <row r="310" spans="1:7" ht="76.5">
      <c r="A310" s="28"/>
      <c r="B310" s="43" t="s">
        <v>782</v>
      </c>
      <c r="C310" s="43" t="s">
        <v>760</v>
      </c>
      <c r="D310" s="43" t="s">
        <v>783</v>
      </c>
      <c r="E310" s="43" t="s">
        <v>2057</v>
      </c>
      <c r="F310" s="27" t="s">
        <v>188</v>
      </c>
      <c r="G310" s="28"/>
    </row>
    <row r="311" spans="1:7" ht="102">
      <c r="A311" s="28"/>
      <c r="B311" s="43" t="s">
        <v>784</v>
      </c>
      <c r="C311" s="43" t="s">
        <v>785</v>
      </c>
      <c r="D311" s="43" t="s">
        <v>2058</v>
      </c>
      <c r="E311" s="43" t="s">
        <v>2059</v>
      </c>
      <c r="F311" s="27" t="s">
        <v>188</v>
      </c>
      <c r="G311" s="28"/>
    </row>
    <row r="312" spans="1:7" ht="76.5">
      <c r="A312" s="28"/>
      <c r="B312" s="43" t="s">
        <v>786</v>
      </c>
      <c r="C312" s="43" t="s">
        <v>760</v>
      </c>
      <c r="D312" s="43" t="s">
        <v>2060</v>
      </c>
      <c r="E312" s="43" t="s">
        <v>2061</v>
      </c>
      <c r="F312" s="27" t="s">
        <v>188</v>
      </c>
      <c r="G312" s="28"/>
    </row>
    <row r="313" spans="1:7" ht="114.75">
      <c r="A313" s="28"/>
      <c r="B313" s="43" t="s">
        <v>2062</v>
      </c>
      <c r="C313" s="43" t="s">
        <v>760</v>
      </c>
      <c r="D313" s="43" t="s">
        <v>2063</v>
      </c>
      <c r="E313" s="43" t="s">
        <v>2064</v>
      </c>
      <c r="F313" s="27" t="s">
        <v>188</v>
      </c>
      <c r="G313" s="28"/>
    </row>
    <row r="314" spans="1:7" ht="153">
      <c r="A314" s="28"/>
      <c r="B314" s="43" t="s">
        <v>646</v>
      </c>
      <c r="C314" s="43" t="s">
        <v>2065</v>
      </c>
      <c r="D314" s="43" t="s">
        <v>2066</v>
      </c>
      <c r="E314" s="43" t="s">
        <v>2067</v>
      </c>
      <c r="F314" s="27" t="s">
        <v>188</v>
      </c>
      <c r="G314" s="28"/>
    </row>
    <row r="315" spans="1:7" ht="51">
      <c r="A315" s="28"/>
      <c r="B315" s="43" t="s">
        <v>2068</v>
      </c>
      <c r="C315" s="43" t="s">
        <v>750</v>
      </c>
      <c r="D315" s="43" t="s">
        <v>2069</v>
      </c>
      <c r="E315" s="43" t="s">
        <v>2070</v>
      </c>
      <c r="F315" s="27" t="s">
        <v>188</v>
      </c>
      <c r="G315" s="28"/>
    </row>
    <row r="316" spans="1:7" ht="51">
      <c r="A316" s="28"/>
      <c r="B316" s="43" t="s">
        <v>2071</v>
      </c>
      <c r="C316" s="43" t="s">
        <v>750</v>
      </c>
      <c r="D316" s="43" t="s">
        <v>2072</v>
      </c>
      <c r="E316" s="43" t="s">
        <v>2073</v>
      </c>
      <c r="F316" s="27" t="s">
        <v>188</v>
      </c>
      <c r="G316" s="28"/>
    </row>
    <row r="317" spans="1:7" ht="51">
      <c r="A317" s="28"/>
      <c r="B317" s="43" t="s">
        <v>2074</v>
      </c>
      <c r="C317" s="43" t="s">
        <v>750</v>
      </c>
      <c r="D317" s="43" t="s">
        <v>2075</v>
      </c>
      <c r="E317" s="43" t="s">
        <v>2076</v>
      </c>
      <c r="F317" s="27" t="s">
        <v>188</v>
      </c>
      <c r="G317" s="28"/>
    </row>
    <row r="318" spans="1:7" ht="76.5">
      <c r="A318" s="28"/>
      <c r="B318" s="43" t="s">
        <v>2077</v>
      </c>
      <c r="C318" s="43" t="s">
        <v>750</v>
      </c>
      <c r="D318" s="43" t="s">
        <v>2078</v>
      </c>
      <c r="E318" s="43" t="s">
        <v>2079</v>
      </c>
      <c r="F318" s="27" t="s">
        <v>188</v>
      </c>
      <c r="G318" s="28"/>
    </row>
    <row r="319" spans="1:7" ht="63.75">
      <c r="A319" s="28"/>
      <c r="B319" s="43" t="s">
        <v>2080</v>
      </c>
      <c r="C319" s="43" t="s">
        <v>750</v>
      </c>
      <c r="D319" s="43" t="s">
        <v>2081</v>
      </c>
      <c r="E319" s="43" t="s">
        <v>2082</v>
      </c>
      <c r="F319" s="27" t="s">
        <v>188</v>
      </c>
      <c r="G319" s="28"/>
    </row>
    <row r="320" spans="1:7" ht="114.75">
      <c r="A320" s="28"/>
      <c r="B320" s="43" t="s">
        <v>658</v>
      </c>
      <c r="C320" s="43" t="s">
        <v>750</v>
      </c>
      <c r="D320" s="43" t="s">
        <v>2083</v>
      </c>
      <c r="E320" s="43" t="s">
        <v>2084</v>
      </c>
      <c r="F320" s="27" t="s">
        <v>188</v>
      </c>
      <c r="G320" s="28"/>
    </row>
    <row r="321" spans="1:7" ht="51">
      <c r="A321" s="28"/>
      <c r="B321" s="43" t="s">
        <v>749</v>
      </c>
      <c r="C321" s="43" t="s">
        <v>750</v>
      </c>
      <c r="D321" s="43" t="s">
        <v>751</v>
      </c>
      <c r="E321" s="43" t="s">
        <v>752</v>
      </c>
      <c r="F321" s="27" t="s">
        <v>188</v>
      </c>
      <c r="G321" s="28"/>
    </row>
    <row r="322" spans="1:7" ht="102">
      <c r="A322" s="28"/>
      <c r="B322" s="43" t="s">
        <v>753</v>
      </c>
      <c r="C322" s="43" t="s">
        <v>750</v>
      </c>
      <c r="D322" s="43" t="s">
        <v>754</v>
      </c>
      <c r="E322" s="43" t="s">
        <v>755</v>
      </c>
      <c r="F322" s="27" t="s">
        <v>188</v>
      </c>
      <c r="G322" s="28"/>
    </row>
    <row r="323" spans="1:7" ht="140.25">
      <c r="A323" s="28"/>
      <c r="B323" s="43" t="s">
        <v>756</v>
      </c>
      <c r="C323" s="43" t="s">
        <v>750</v>
      </c>
      <c r="D323" s="43" t="s">
        <v>757</v>
      </c>
      <c r="E323" s="43" t="s">
        <v>758</v>
      </c>
      <c r="F323" s="27" t="s">
        <v>188</v>
      </c>
      <c r="G323" s="28"/>
    </row>
    <row r="324" spans="1:7" ht="51">
      <c r="A324" s="28"/>
      <c r="B324" s="43" t="s">
        <v>2085</v>
      </c>
      <c r="C324" s="43" t="s">
        <v>750</v>
      </c>
      <c r="D324" s="43" t="s">
        <v>2086</v>
      </c>
      <c r="E324" s="43" t="s">
        <v>2087</v>
      </c>
      <c r="F324" s="27" t="s">
        <v>188</v>
      </c>
      <c r="G324" s="28"/>
    </row>
    <row r="325" spans="1:7" ht="51">
      <c r="A325" s="28"/>
      <c r="B325" s="43" t="s">
        <v>2088</v>
      </c>
      <c r="C325" s="43" t="s">
        <v>750</v>
      </c>
      <c r="D325" s="43" t="s">
        <v>2089</v>
      </c>
      <c r="E325" s="43" t="s">
        <v>2090</v>
      </c>
      <c r="F325" s="27" t="s">
        <v>188</v>
      </c>
      <c r="G325" s="28"/>
    </row>
  </sheetData>
  <mergeCells count="79">
    <mergeCell ref="G53:G63"/>
    <mergeCell ref="G64:G67"/>
    <mergeCell ref="A68:G68"/>
    <mergeCell ref="C53:C63"/>
    <mergeCell ref="C64:C67"/>
    <mergeCell ref="G42:G44"/>
    <mergeCell ref="A45:A49"/>
    <mergeCell ref="C45:C49"/>
    <mergeCell ref="G45:G49"/>
    <mergeCell ref="G50:G52"/>
    <mergeCell ref="G30:G34"/>
    <mergeCell ref="C24:C34"/>
    <mergeCell ref="C35:C39"/>
    <mergeCell ref="A40:A41"/>
    <mergeCell ref="C40:C41"/>
    <mergeCell ref="A1:D1"/>
    <mergeCell ref="F1:I1"/>
    <mergeCell ref="D3:D7"/>
    <mergeCell ref="I3:I7"/>
    <mergeCell ref="A10:G10"/>
    <mergeCell ref="A258:G258"/>
    <mergeCell ref="A298:G298"/>
    <mergeCell ref="G218:G226"/>
    <mergeCell ref="A227:G227"/>
    <mergeCell ref="A229:A235"/>
    <mergeCell ref="C229:C235"/>
    <mergeCell ref="A236:A241"/>
    <mergeCell ref="C236:C242"/>
    <mergeCell ref="A243:G243"/>
    <mergeCell ref="C218:C226"/>
    <mergeCell ref="A218:A226"/>
    <mergeCell ref="C246:C247"/>
    <mergeCell ref="A248:G248"/>
    <mergeCell ref="A253:G253"/>
    <mergeCell ref="A254:A257"/>
    <mergeCell ref="C254:C257"/>
    <mergeCell ref="C214:C216"/>
    <mergeCell ref="G215:G217"/>
    <mergeCell ref="A196:A206"/>
    <mergeCell ref="C196:C206"/>
    <mergeCell ref="A207:G207"/>
    <mergeCell ref="A208:A213"/>
    <mergeCell ref="D210:D211"/>
    <mergeCell ref="A214:A216"/>
    <mergeCell ref="C208:C213"/>
    <mergeCell ref="G152:G157"/>
    <mergeCell ref="A158:G158"/>
    <mergeCell ref="A186:D186"/>
    <mergeCell ref="D188:D192"/>
    <mergeCell ref="A195:G195"/>
    <mergeCell ref="A105:G105"/>
    <mergeCell ref="G114:G121"/>
    <mergeCell ref="G133:G140"/>
    <mergeCell ref="G141:G148"/>
    <mergeCell ref="G149:G150"/>
    <mergeCell ref="A97:A102"/>
    <mergeCell ref="A11:A15"/>
    <mergeCell ref="A18:A19"/>
    <mergeCell ref="C18:C19"/>
    <mergeCell ref="A20:A22"/>
    <mergeCell ref="A24:A34"/>
    <mergeCell ref="A35:A39"/>
    <mergeCell ref="A50:A67"/>
    <mergeCell ref="A69:A70"/>
    <mergeCell ref="A72:A73"/>
    <mergeCell ref="A82:G82"/>
    <mergeCell ref="A95:G95"/>
    <mergeCell ref="C11:C15"/>
    <mergeCell ref="A16:G16"/>
    <mergeCell ref="A23:G23"/>
    <mergeCell ref="G24:G29"/>
    <mergeCell ref="C20:C22"/>
    <mergeCell ref="C50:C52"/>
    <mergeCell ref="A76:A77"/>
    <mergeCell ref="A79:A81"/>
    <mergeCell ref="A86:A90"/>
    <mergeCell ref="A42:A44"/>
    <mergeCell ref="C42:C44"/>
    <mergeCell ref="C71:C73"/>
  </mergeCells>
  <dataValidations count="2">
    <dataValidation type="list" allowBlank="1" showErrorMessage="1" sqref="F196:F206 F208:F226 F228:F242 F244:F247 F249:F252 F254:F257 F259:F297 F299:F325" xr:uid="{00000000-0002-0000-1900-000000000000}">
      <formula1>"PASSED,FAILED,IN PROGRESS,NOT YET STARTED,LOCAL READY,NOT STARTED"</formula1>
    </dataValidation>
    <dataValidation type="list" allowBlank="1" showErrorMessage="1" sqref="F11:F15 F17:F22 F24:F67 F69:F81 F83:F94 F96:F104 F106:F157 F159:F182" xr:uid="{00000000-0002-0000-1900-000001000000}">
      <formula1>"PASSED,FAILED,IN PROGRESS,LOCAL READY,NOT STARTED"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K45"/>
  <sheetViews>
    <sheetView workbookViewId="0"/>
  </sheetViews>
  <sheetFormatPr defaultColWidth="12.5703125" defaultRowHeight="15.75" customHeight="1"/>
  <cols>
    <col min="1" max="1" width="41.140625" customWidth="1"/>
    <col min="2" max="2" width="26.5703125" customWidth="1"/>
    <col min="3" max="3" width="22.42578125" customWidth="1"/>
    <col min="4" max="4" width="25.28515625" customWidth="1"/>
    <col min="5" max="5" width="39" customWidth="1"/>
    <col min="6" max="7" width="25.28515625" customWidth="1"/>
  </cols>
  <sheetData>
    <row r="1" spans="1:11" ht="15.75" customHeight="1">
      <c r="A1" s="202" t="s">
        <v>2182</v>
      </c>
      <c r="B1" s="203" t="s">
        <v>2183</v>
      </c>
      <c r="C1" s="69"/>
      <c r="D1" s="69"/>
      <c r="E1" s="69"/>
      <c r="F1" s="69"/>
      <c r="G1" s="69"/>
    </row>
    <row r="2" spans="1:11">
      <c r="A2" s="69"/>
      <c r="B2" s="69"/>
      <c r="C2" s="69"/>
      <c r="D2" s="69"/>
      <c r="E2" s="69"/>
      <c r="F2" s="69"/>
      <c r="G2" s="69"/>
    </row>
    <row r="3" spans="1:11">
      <c r="A3" s="69"/>
      <c r="B3" s="69"/>
      <c r="C3" s="69"/>
      <c r="D3" s="69"/>
      <c r="E3" s="69"/>
      <c r="F3" s="69"/>
      <c r="G3" s="69"/>
    </row>
    <row r="4" spans="1:11" ht="15.75" customHeight="1">
      <c r="A4" s="204" t="s">
        <v>2184</v>
      </c>
      <c r="B4" s="205" t="s">
        <v>2185</v>
      </c>
      <c r="C4" s="206" t="s">
        <v>2186</v>
      </c>
      <c r="D4" s="206" t="s">
        <v>2187</v>
      </c>
      <c r="E4" s="206" t="s">
        <v>2188</v>
      </c>
      <c r="F4" s="206" t="s">
        <v>1741</v>
      </c>
      <c r="H4" s="69" t="s">
        <v>2189</v>
      </c>
      <c r="I4" s="69"/>
      <c r="J4" s="69"/>
      <c r="K4" s="69"/>
    </row>
    <row r="5" spans="1:11">
      <c r="A5" s="277" t="s">
        <v>2047</v>
      </c>
      <c r="B5" s="57" t="s">
        <v>2045</v>
      </c>
      <c r="C5" s="27" t="s">
        <v>2189</v>
      </c>
      <c r="D5" s="207"/>
      <c r="E5" s="57"/>
      <c r="F5" s="27" t="s">
        <v>2190</v>
      </c>
      <c r="H5" s="69" t="s">
        <v>2191</v>
      </c>
      <c r="I5" s="69"/>
      <c r="J5" s="69"/>
      <c r="K5" s="69"/>
    </row>
    <row r="6" spans="1:11">
      <c r="A6" s="235"/>
      <c r="B6" s="41" t="s">
        <v>2046</v>
      </c>
      <c r="C6" s="27" t="s">
        <v>2189</v>
      </c>
      <c r="D6" s="208"/>
      <c r="E6" s="25"/>
      <c r="F6" s="27" t="s">
        <v>2190</v>
      </c>
      <c r="H6" s="69" t="s">
        <v>2192</v>
      </c>
      <c r="I6" s="69"/>
      <c r="J6" s="209"/>
      <c r="K6" s="209"/>
    </row>
    <row r="7" spans="1:11">
      <c r="A7" s="235"/>
      <c r="B7" s="41" t="s">
        <v>2193</v>
      </c>
      <c r="C7" s="27" t="s">
        <v>2189</v>
      </c>
      <c r="D7" s="208"/>
      <c r="E7" s="25"/>
      <c r="F7" s="27" t="s">
        <v>2190</v>
      </c>
      <c r="H7" s="69" t="s">
        <v>2194</v>
      </c>
      <c r="I7" s="69"/>
      <c r="J7" s="209"/>
      <c r="K7" s="209"/>
    </row>
    <row r="8" spans="1:11">
      <c r="A8" s="235"/>
      <c r="B8" s="41" t="s">
        <v>2195</v>
      </c>
      <c r="C8" s="27" t="s">
        <v>2194</v>
      </c>
      <c r="D8" s="208"/>
      <c r="E8" s="25"/>
      <c r="F8" s="27" t="s">
        <v>2190</v>
      </c>
      <c r="H8" s="69"/>
      <c r="I8" s="69"/>
      <c r="J8" s="209"/>
      <c r="K8" s="209"/>
    </row>
    <row r="9" spans="1:11" ht="15.75" customHeight="1">
      <c r="A9" s="235"/>
      <c r="B9" s="41" t="s">
        <v>2196</v>
      </c>
      <c r="C9" s="27" t="s">
        <v>2189</v>
      </c>
      <c r="D9" s="208"/>
      <c r="E9" s="25"/>
      <c r="F9" s="27" t="s">
        <v>2190</v>
      </c>
      <c r="H9" s="249" t="s">
        <v>2197</v>
      </c>
      <c r="I9" s="237"/>
      <c r="J9" s="237"/>
      <c r="K9" s="238"/>
    </row>
    <row r="10" spans="1:11" ht="15.75" customHeight="1">
      <c r="A10" s="234"/>
      <c r="B10" s="41" t="s">
        <v>2198</v>
      </c>
      <c r="C10" s="27" t="s">
        <v>2189</v>
      </c>
      <c r="D10" s="208"/>
      <c r="E10" s="25"/>
      <c r="F10" s="27" t="s">
        <v>2190</v>
      </c>
      <c r="H10" s="4"/>
      <c r="I10" s="5" t="s">
        <v>2</v>
      </c>
      <c r="J10" s="5" t="s">
        <v>3</v>
      </c>
      <c r="K10" s="210" t="s">
        <v>4</v>
      </c>
    </row>
    <row r="11" spans="1:11">
      <c r="A11" s="277" t="s">
        <v>1558</v>
      </c>
      <c r="B11" s="41" t="s">
        <v>2199</v>
      </c>
      <c r="C11" s="27" t="s">
        <v>2191</v>
      </c>
      <c r="D11" s="208"/>
      <c r="E11" s="25" t="s">
        <v>2200</v>
      </c>
      <c r="F11" s="27" t="s">
        <v>2190</v>
      </c>
      <c r="H11" s="211" t="s">
        <v>8</v>
      </c>
      <c r="I11" s="212">
        <f>COUNTIF(C5:C45,H4)</f>
        <v>35</v>
      </c>
      <c r="J11" s="213">
        <f>IFERROR((I11/I15),0)</f>
        <v>0.85365853658536583</v>
      </c>
      <c r="K11" s="250">
        <f>(IFERROR((I11/I15),0))</f>
        <v>0.85365853658536583</v>
      </c>
    </row>
    <row r="12" spans="1:11">
      <c r="A12" s="235"/>
      <c r="B12" s="41" t="s">
        <v>2201</v>
      </c>
      <c r="C12" s="27" t="s">
        <v>2189</v>
      </c>
      <c r="D12" s="207"/>
      <c r="E12" s="28"/>
      <c r="F12" s="27" t="s">
        <v>2190</v>
      </c>
      <c r="H12" s="211" t="s">
        <v>9</v>
      </c>
      <c r="I12" s="212">
        <f>COUNTIF(C5:C45,H5)</f>
        <v>5</v>
      </c>
      <c r="J12" s="213">
        <f>IFERROR((I12/I15),0)</f>
        <v>0.12195121951219512</v>
      </c>
      <c r="K12" s="235"/>
    </row>
    <row r="13" spans="1:11">
      <c r="A13" s="235"/>
      <c r="B13" s="41" t="s">
        <v>2202</v>
      </c>
      <c r="C13" s="27" t="s">
        <v>2191</v>
      </c>
      <c r="D13" s="207"/>
      <c r="E13" s="57" t="s">
        <v>2203</v>
      </c>
      <c r="F13" s="27" t="s">
        <v>2190</v>
      </c>
      <c r="H13" s="211" t="s">
        <v>2204</v>
      </c>
      <c r="I13" s="212">
        <f>COUNTIF(C5:C45,H6)</f>
        <v>0</v>
      </c>
      <c r="J13" s="213">
        <f>IFERROR((I13/I15),0)</f>
        <v>0</v>
      </c>
      <c r="K13" s="235"/>
    </row>
    <row r="14" spans="1:11">
      <c r="A14" s="235"/>
      <c r="B14" s="41" t="s">
        <v>2205</v>
      </c>
      <c r="C14" s="27" t="s">
        <v>2189</v>
      </c>
      <c r="D14" s="207"/>
      <c r="E14" s="28"/>
      <c r="F14" s="27" t="s">
        <v>2190</v>
      </c>
      <c r="H14" s="211" t="s">
        <v>2206</v>
      </c>
      <c r="I14" s="212">
        <f>COUNTIF(C5:C45,H7)</f>
        <v>1</v>
      </c>
      <c r="J14" s="213">
        <f>IFERROR((I14/I15),0)</f>
        <v>2.4390243902439025E-2</v>
      </c>
      <c r="K14" s="235"/>
    </row>
    <row r="15" spans="1:11">
      <c r="A15" s="235"/>
      <c r="B15" s="41" t="s">
        <v>2207</v>
      </c>
      <c r="C15" s="27" t="s">
        <v>2191</v>
      </c>
      <c r="D15" s="207"/>
      <c r="E15" s="57" t="s">
        <v>2208</v>
      </c>
      <c r="F15" s="27" t="s">
        <v>2190</v>
      </c>
      <c r="H15" s="214" t="s">
        <v>10</v>
      </c>
      <c r="I15" s="214">
        <f>SUM(I11:I14)</f>
        <v>41</v>
      </c>
      <c r="J15" s="214">
        <f>IFERROR((I15/#REF!)*100,0)</f>
        <v>0</v>
      </c>
      <c r="K15" s="234"/>
    </row>
    <row r="16" spans="1:11">
      <c r="A16" s="234"/>
      <c r="B16" s="41" t="s">
        <v>2209</v>
      </c>
      <c r="C16" s="27" t="s">
        <v>2189</v>
      </c>
      <c r="D16" s="207"/>
      <c r="E16" s="25"/>
      <c r="F16" s="27" t="s">
        <v>2190</v>
      </c>
    </row>
    <row r="17" spans="1:6">
      <c r="A17" s="277" t="s">
        <v>2210</v>
      </c>
      <c r="B17" s="57" t="s">
        <v>2211</v>
      </c>
      <c r="C17" s="27" t="s">
        <v>2189</v>
      </c>
      <c r="D17" s="207"/>
      <c r="E17" s="25" t="s">
        <v>2212</v>
      </c>
      <c r="F17" s="27" t="s">
        <v>2213</v>
      </c>
    </row>
    <row r="18" spans="1:6">
      <c r="A18" s="235"/>
      <c r="B18" s="57" t="s">
        <v>2214</v>
      </c>
      <c r="C18" s="27" t="s">
        <v>2189</v>
      </c>
      <c r="D18" s="207"/>
      <c r="E18" s="25" t="s">
        <v>2215</v>
      </c>
      <c r="F18" s="27" t="s">
        <v>2213</v>
      </c>
    </row>
    <row r="19" spans="1:6">
      <c r="A19" s="235"/>
      <c r="B19" s="57" t="s">
        <v>2205</v>
      </c>
      <c r="C19" s="27" t="s">
        <v>2189</v>
      </c>
      <c r="D19" s="207"/>
      <c r="E19" s="28"/>
      <c r="F19" s="27" t="s">
        <v>2213</v>
      </c>
    </row>
    <row r="20" spans="1:6">
      <c r="A20" s="235"/>
      <c r="B20" s="57" t="s">
        <v>2207</v>
      </c>
      <c r="C20" s="27" t="s">
        <v>2191</v>
      </c>
      <c r="D20" s="207"/>
      <c r="E20" s="25" t="s">
        <v>2216</v>
      </c>
      <c r="F20" s="27" t="s">
        <v>2213</v>
      </c>
    </row>
    <row r="21" spans="1:6">
      <c r="A21" s="235"/>
      <c r="B21" s="57" t="s">
        <v>2209</v>
      </c>
      <c r="C21" s="27" t="s">
        <v>2189</v>
      </c>
      <c r="D21" s="207"/>
      <c r="E21" s="57"/>
      <c r="F21" s="27" t="s">
        <v>2213</v>
      </c>
    </row>
    <row r="22" spans="1:6">
      <c r="A22" s="234"/>
      <c r="B22" s="57" t="s">
        <v>2217</v>
      </c>
      <c r="C22" s="27" t="s">
        <v>2189</v>
      </c>
      <c r="D22" s="207"/>
      <c r="E22" s="28"/>
      <c r="F22" s="27" t="s">
        <v>2190</v>
      </c>
    </row>
    <row r="23" spans="1:6">
      <c r="A23" s="277" t="s">
        <v>2218</v>
      </c>
      <c r="B23" s="57" t="s">
        <v>2219</v>
      </c>
      <c r="C23" s="27" t="s">
        <v>2189</v>
      </c>
      <c r="D23" s="207"/>
      <c r="E23" s="28"/>
      <c r="F23" s="27" t="s">
        <v>2220</v>
      </c>
    </row>
    <row r="24" spans="1:6">
      <c r="A24" s="235"/>
      <c r="B24" s="57" t="s">
        <v>2205</v>
      </c>
      <c r="C24" s="27" t="s">
        <v>2189</v>
      </c>
      <c r="D24" s="207"/>
      <c r="E24" s="57" t="s">
        <v>2221</v>
      </c>
      <c r="F24" s="27" t="s">
        <v>2220</v>
      </c>
    </row>
    <row r="25" spans="1:6">
      <c r="A25" s="235"/>
      <c r="B25" s="57" t="s">
        <v>2207</v>
      </c>
      <c r="C25" s="27" t="s">
        <v>2189</v>
      </c>
      <c r="D25" s="207"/>
      <c r="E25" s="28"/>
      <c r="F25" s="27" t="s">
        <v>2220</v>
      </c>
    </row>
    <row r="26" spans="1:6">
      <c r="A26" s="235"/>
      <c r="B26" s="57" t="s">
        <v>2222</v>
      </c>
      <c r="C26" s="27" t="s">
        <v>2189</v>
      </c>
      <c r="D26" s="207"/>
      <c r="E26" s="57"/>
      <c r="F26" s="27" t="s">
        <v>2220</v>
      </c>
    </row>
    <row r="27" spans="1:6">
      <c r="A27" s="235"/>
      <c r="B27" s="57" t="s">
        <v>2205</v>
      </c>
      <c r="C27" s="27" t="s">
        <v>2189</v>
      </c>
      <c r="D27" s="207"/>
      <c r="E27" s="57" t="s">
        <v>2221</v>
      </c>
      <c r="F27" s="27" t="s">
        <v>2220</v>
      </c>
    </row>
    <row r="28" spans="1:6">
      <c r="A28" s="235"/>
      <c r="B28" s="57" t="s">
        <v>2207</v>
      </c>
      <c r="C28" s="27" t="s">
        <v>2189</v>
      </c>
      <c r="D28" s="207"/>
      <c r="E28" s="28"/>
      <c r="F28" s="27" t="s">
        <v>2220</v>
      </c>
    </row>
    <row r="29" spans="1:6">
      <c r="A29" s="234"/>
      <c r="B29" s="57" t="s">
        <v>2209</v>
      </c>
      <c r="C29" s="27" t="s">
        <v>2189</v>
      </c>
      <c r="D29" s="208"/>
      <c r="E29" s="57"/>
      <c r="F29" s="27" t="s">
        <v>2220</v>
      </c>
    </row>
    <row r="30" spans="1:6">
      <c r="A30" s="277" t="s">
        <v>2223</v>
      </c>
      <c r="B30" s="57" t="s">
        <v>2224</v>
      </c>
      <c r="C30" s="27" t="s">
        <v>2189</v>
      </c>
      <c r="D30" s="207"/>
      <c r="F30" s="27" t="s">
        <v>2190</v>
      </c>
    </row>
    <row r="31" spans="1:6">
      <c r="A31" s="235"/>
      <c r="B31" s="57" t="s">
        <v>2205</v>
      </c>
      <c r="C31" s="27" t="s">
        <v>2189</v>
      </c>
      <c r="D31" s="207"/>
      <c r="E31" s="28"/>
      <c r="F31" s="27" t="s">
        <v>2190</v>
      </c>
    </row>
    <row r="32" spans="1:6">
      <c r="A32" s="235"/>
      <c r="B32" s="57" t="s">
        <v>2207</v>
      </c>
      <c r="C32" s="27" t="s">
        <v>2189</v>
      </c>
      <c r="D32" s="207"/>
      <c r="E32" s="28"/>
      <c r="F32" s="27" t="s">
        <v>2190</v>
      </c>
    </row>
    <row r="33" spans="1:6">
      <c r="A33" s="234"/>
      <c r="B33" s="57" t="s">
        <v>2209</v>
      </c>
      <c r="C33" s="27" t="s">
        <v>2189</v>
      </c>
      <c r="D33" s="208"/>
      <c r="E33" s="57"/>
      <c r="F33" s="27" t="s">
        <v>2190</v>
      </c>
    </row>
    <row r="34" spans="1:6">
      <c r="A34" s="277" t="s">
        <v>2225</v>
      </c>
      <c r="B34" s="57" t="s">
        <v>2226</v>
      </c>
      <c r="C34" s="27" t="s">
        <v>2189</v>
      </c>
      <c r="D34" s="207"/>
      <c r="E34" s="28"/>
      <c r="F34" s="27" t="s">
        <v>2190</v>
      </c>
    </row>
    <row r="35" spans="1:6">
      <c r="A35" s="235"/>
      <c r="B35" s="57" t="s">
        <v>2227</v>
      </c>
      <c r="C35" s="27" t="s">
        <v>2189</v>
      </c>
      <c r="D35" s="207"/>
      <c r="E35" s="28"/>
      <c r="F35" s="27" t="s">
        <v>2190</v>
      </c>
    </row>
    <row r="36" spans="1:6">
      <c r="A36" s="235"/>
      <c r="B36" s="57" t="s">
        <v>2205</v>
      </c>
      <c r="C36" s="27" t="s">
        <v>2191</v>
      </c>
      <c r="D36" s="207"/>
      <c r="E36" s="57" t="s">
        <v>2228</v>
      </c>
      <c r="F36" s="27" t="s">
        <v>2190</v>
      </c>
    </row>
    <row r="37" spans="1:6">
      <c r="A37" s="235"/>
      <c r="B37" s="57" t="s">
        <v>2207</v>
      </c>
      <c r="C37" s="27" t="s">
        <v>2189</v>
      </c>
      <c r="D37" s="207"/>
      <c r="E37" s="28"/>
      <c r="F37" s="27" t="s">
        <v>2190</v>
      </c>
    </row>
    <row r="38" spans="1:6" ht="12.75">
      <c r="A38" s="235"/>
      <c r="B38" s="57" t="s">
        <v>2209</v>
      </c>
      <c r="C38" s="27" t="s">
        <v>2189</v>
      </c>
      <c r="D38" s="207"/>
      <c r="E38" s="28"/>
      <c r="F38" s="27" t="s">
        <v>2190</v>
      </c>
    </row>
    <row r="39" spans="1:6" ht="12.75">
      <c r="A39" s="235"/>
      <c r="B39" s="57" t="s">
        <v>2229</v>
      </c>
      <c r="C39" s="27" t="s">
        <v>2189</v>
      </c>
      <c r="D39" s="207"/>
      <c r="E39" s="28"/>
      <c r="F39" s="27" t="s">
        <v>2190</v>
      </c>
    </row>
    <row r="40" spans="1:6" ht="12.75">
      <c r="A40" s="235"/>
      <c r="B40" s="57" t="s">
        <v>2230</v>
      </c>
      <c r="C40" s="27" t="s">
        <v>2189</v>
      </c>
      <c r="D40" s="207"/>
      <c r="E40" s="23"/>
      <c r="F40" s="27" t="s">
        <v>2190</v>
      </c>
    </row>
    <row r="41" spans="1:6" ht="12.75">
      <c r="A41" s="234"/>
      <c r="B41" s="57" t="s">
        <v>2231</v>
      </c>
      <c r="C41" s="27" t="s">
        <v>2189</v>
      </c>
      <c r="D41" s="207"/>
      <c r="E41" s="28"/>
      <c r="F41" s="27" t="s">
        <v>2190</v>
      </c>
    </row>
    <row r="42" spans="1:6" ht="25.5">
      <c r="A42" s="277" t="s">
        <v>2232</v>
      </c>
      <c r="B42" s="57" t="s">
        <v>2224</v>
      </c>
      <c r="C42" s="27" t="s">
        <v>2189</v>
      </c>
      <c r="D42" s="207"/>
      <c r="E42" s="25" t="s">
        <v>2233</v>
      </c>
      <c r="F42" s="27" t="s">
        <v>2213</v>
      </c>
    </row>
    <row r="43" spans="1:6" ht="12.75">
      <c r="A43" s="235"/>
      <c r="B43" s="57" t="s">
        <v>2205</v>
      </c>
      <c r="C43" s="27" t="s">
        <v>2189</v>
      </c>
      <c r="D43" s="207"/>
      <c r="E43" s="25"/>
      <c r="F43" s="27" t="s">
        <v>2213</v>
      </c>
    </row>
    <row r="44" spans="1:6" ht="12.75">
      <c r="A44" s="235"/>
      <c r="B44" s="57" t="s">
        <v>2207</v>
      </c>
      <c r="C44" s="27" t="s">
        <v>2189</v>
      </c>
      <c r="D44" s="207"/>
      <c r="E44" s="28"/>
      <c r="F44" s="27" t="s">
        <v>2213</v>
      </c>
    </row>
    <row r="45" spans="1:6" ht="12.75">
      <c r="A45" s="234"/>
      <c r="B45" s="57" t="s">
        <v>2209</v>
      </c>
      <c r="C45" s="27" t="s">
        <v>2189</v>
      </c>
      <c r="D45" s="207"/>
      <c r="E45" s="28"/>
      <c r="F45" s="27" t="s">
        <v>2213</v>
      </c>
    </row>
  </sheetData>
  <mergeCells count="9">
    <mergeCell ref="A34:A41"/>
    <mergeCell ref="A42:A45"/>
    <mergeCell ref="A5:A10"/>
    <mergeCell ref="H9:K9"/>
    <mergeCell ref="A11:A16"/>
    <mergeCell ref="K11:K15"/>
    <mergeCell ref="A17:A22"/>
    <mergeCell ref="A23:A29"/>
    <mergeCell ref="A30:A33"/>
  </mergeCells>
  <dataValidations count="1">
    <dataValidation type="list" allowBlank="1" showErrorMessage="1" sqref="C5:C45" xr:uid="{00000000-0002-0000-1A00-000000000000}">
      <formula1>"Failed,N/A,Passed"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P76"/>
  <sheetViews>
    <sheetView workbookViewId="0"/>
  </sheetViews>
  <sheetFormatPr defaultColWidth="12.5703125" defaultRowHeight="15.75" customHeight="1"/>
  <cols>
    <col min="1" max="1" width="36.28515625" customWidth="1"/>
    <col min="2" max="2" width="25.7109375" customWidth="1"/>
    <col min="3" max="4" width="25.42578125" customWidth="1"/>
    <col min="5" max="5" width="32.140625" customWidth="1"/>
    <col min="6" max="6" width="25.5703125" customWidth="1"/>
  </cols>
  <sheetData>
    <row r="1" spans="1:16" ht="16.5">
      <c r="A1" s="215" t="s">
        <v>2182</v>
      </c>
      <c r="B1" s="203" t="s">
        <v>2241</v>
      </c>
      <c r="C1" s="69"/>
      <c r="D1" s="69"/>
      <c r="E1" s="69"/>
      <c r="F1" s="69"/>
    </row>
    <row r="2" spans="1:16" ht="12.75">
      <c r="A2" s="69"/>
      <c r="B2" s="69"/>
      <c r="C2" s="69"/>
      <c r="D2" s="69"/>
      <c r="E2" s="69"/>
      <c r="F2" s="69"/>
    </row>
    <row r="3" spans="1:16" ht="12.75">
      <c r="A3" s="69"/>
      <c r="B3" s="69"/>
      <c r="C3" s="69"/>
      <c r="D3" s="69"/>
      <c r="E3" s="69"/>
      <c r="F3" s="69"/>
    </row>
    <row r="4" spans="1:16">
      <c r="A4" s="204" t="s">
        <v>2184</v>
      </c>
      <c r="B4" s="205" t="s">
        <v>2185</v>
      </c>
      <c r="C4" s="206" t="s">
        <v>2186</v>
      </c>
      <c r="D4" s="206" t="s">
        <v>2187</v>
      </c>
      <c r="E4" s="206" t="s">
        <v>2188</v>
      </c>
      <c r="F4" s="206" t="s">
        <v>1741</v>
      </c>
      <c r="H4" s="69" t="s">
        <v>2189</v>
      </c>
      <c r="I4" s="69"/>
      <c r="J4" s="69"/>
      <c r="K4" s="69"/>
    </row>
    <row r="5" spans="1:16" ht="12.75">
      <c r="A5" s="277" t="s">
        <v>2047</v>
      </c>
      <c r="B5" s="57" t="s">
        <v>2045</v>
      </c>
      <c r="C5" s="27" t="s">
        <v>2189</v>
      </c>
      <c r="D5" s="207"/>
      <c r="E5" s="57"/>
      <c r="F5" s="27" t="s">
        <v>2242</v>
      </c>
      <c r="H5" s="69" t="s">
        <v>2191</v>
      </c>
      <c r="I5" s="69"/>
      <c r="J5" s="69"/>
      <c r="K5" s="69"/>
    </row>
    <row r="6" spans="1:16" ht="12.75">
      <c r="A6" s="235"/>
      <c r="B6" s="41" t="s">
        <v>2046</v>
      </c>
      <c r="C6" s="27" t="s">
        <v>2189</v>
      </c>
      <c r="D6" s="208"/>
      <c r="E6" s="25"/>
      <c r="F6" s="27" t="s">
        <v>2243</v>
      </c>
      <c r="H6" s="69" t="s">
        <v>2192</v>
      </c>
      <c r="I6" s="69"/>
      <c r="J6" s="209"/>
      <c r="K6" s="209"/>
    </row>
    <row r="7" spans="1:16" ht="12.75">
      <c r="A7" s="235"/>
      <c r="B7" s="41" t="s">
        <v>2193</v>
      </c>
      <c r="C7" s="27" t="s">
        <v>2189</v>
      </c>
      <c r="D7" s="208"/>
      <c r="E7" s="25"/>
      <c r="F7" s="27" t="s">
        <v>2243</v>
      </c>
      <c r="H7" s="69" t="s">
        <v>2194</v>
      </c>
      <c r="I7" s="69"/>
      <c r="J7" s="209"/>
      <c r="K7" s="209"/>
    </row>
    <row r="8" spans="1:16" ht="12.75">
      <c r="A8" s="235"/>
      <c r="B8" s="41" t="s">
        <v>2195</v>
      </c>
      <c r="C8" s="27" t="s">
        <v>2194</v>
      </c>
      <c r="D8" s="208"/>
      <c r="E8" s="25"/>
      <c r="F8" s="27" t="s">
        <v>2243</v>
      </c>
      <c r="H8" s="69"/>
      <c r="I8" s="69"/>
      <c r="J8" s="209"/>
      <c r="K8" s="209"/>
    </row>
    <row r="9" spans="1:16" ht="14.25">
      <c r="A9" s="235"/>
      <c r="B9" s="41" t="s">
        <v>2196</v>
      </c>
      <c r="C9" s="27" t="s">
        <v>2189</v>
      </c>
      <c r="D9" s="208"/>
      <c r="E9" s="25"/>
      <c r="F9" s="27" t="s">
        <v>2243</v>
      </c>
      <c r="H9" s="249" t="s">
        <v>2197</v>
      </c>
      <c r="I9" s="237"/>
      <c r="J9" s="237"/>
      <c r="K9" s="238"/>
    </row>
    <row r="10" spans="1:16" ht="15">
      <c r="A10" s="234"/>
      <c r="B10" s="41" t="s">
        <v>2198</v>
      </c>
      <c r="C10" s="27" t="s">
        <v>2189</v>
      </c>
      <c r="D10" s="208"/>
      <c r="E10" s="25"/>
      <c r="F10" s="27" t="s">
        <v>2243</v>
      </c>
      <c r="H10" s="4"/>
      <c r="I10" s="5" t="s">
        <v>2</v>
      </c>
      <c r="J10" s="5" t="s">
        <v>3</v>
      </c>
      <c r="K10" s="210" t="s">
        <v>4</v>
      </c>
    </row>
    <row r="11" spans="1:16" ht="38.25">
      <c r="A11" s="277" t="s">
        <v>1558</v>
      </c>
      <c r="B11" s="41" t="s">
        <v>2199</v>
      </c>
      <c r="C11" s="27" t="s">
        <v>2191</v>
      </c>
      <c r="D11" s="208"/>
      <c r="E11" s="25" t="s">
        <v>2244</v>
      </c>
      <c r="F11" s="27" t="s">
        <v>2245</v>
      </c>
      <c r="H11" s="211" t="s">
        <v>8</v>
      </c>
      <c r="I11" s="212">
        <f>COUNTIF(C5:C45,H4)</f>
        <v>35</v>
      </c>
      <c r="J11" s="213">
        <f>IFERROR((I11/I15),0)</f>
        <v>0.85365853658536583</v>
      </c>
      <c r="K11" s="250">
        <f>(IFERROR((I11/I15),0))</f>
        <v>0.85365853658536583</v>
      </c>
    </row>
    <row r="12" spans="1:16" ht="30">
      <c r="A12" s="235"/>
      <c r="B12" s="41" t="s">
        <v>2201</v>
      </c>
      <c r="C12" s="27" t="s">
        <v>2189</v>
      </c>
      <c r="D12" s="207"/>
      <c r="E12" s="28"/>
      <c r="F12" s="27" t="s">
        <v>2245</v>
      </c>
      <c r="H12" s="211" t="s">
        <v>9</v>
      </c>
      <c r="I12" s="212">
        <f>COUNTIF(C5:C45,H5)</f>
        <v>5</v>
      </c>
      <c r="J12" s="213">
        <f>IFERROR((I12/I15),0)</f>
        <v>0.12195121951219512</v>
      </c>
      <c r="K12" s="235"/>
    </row>
    <row r="13" spans="1:16" ht="76.5">
      <c r="A13" s="235"/>
      <c r="B13" s="41" t="s">
        <v>2202</v>
      </c>
      <c r="C13" s="27" t="s">
        <v>2191</v>
      </c>
      <c r="D13" s="207"/>
      <c r="E13" s="25" t="s">
        <v>2246</v>
      </c>
      <c r="F13" s="27" t="s">
        <v>2245</v>
      </c>
      <c r="H13" s="211" t="s">
        <v>2204</v>
      </c>
      <c r="I13" s="212">
        <f>COUNTIF(C5:C47,H6)</f>
        <v>0</v>
      </c>
      <c r="J13" s="213">
        <f>IFERROR((I13/I15),0)</f>
        <v>0</v>
      </c>
      <c r="K13" s="235"/>
    </row>
    <row r="14" spans="1:16" ht="30">
      <c r="A14" s="235"/>
      <c r="B14" s="41" t="s">
        <v>2205</v>
      </c>
      <c r="C14" s="27" t="s">
        <v>2189</v>
      </c>
      <c r="D14" s="207"/>
      <c r="E14" s="57"/>
      <c r="F14" s="27" t="s">
        <v>2245</v>
      </c>
      <c r="H14" s="211" t="s">
        <v>2206</v>
      </c>
      <c r="I14" s="212">
        <f>COUNTIF(C5:C45,H7)</f>
        <v>1</v>
      </c>
      <c r="J14" s="213">
        <f>IFERROR((I14/I15),0)</f>
        <v>2.4390243902439025E-2</v>
      </c>
      <c r="K14" s="235"/>
      <c r="M14" s="278" t="s">
        <v>2247</v>
      </c>
      <c r="N14" s="237"/>
      <c r="O14" s="237"/>
      <c r="P14" s="238"/>
    </row>
    <row r="15" spans="1:16" ht="26.25">
      <c r="A15" s="235"/>
      <c r="B15" s="41" t="s">
        <v>2207</v>
      </c>
      <c r="C15" s="27" t="s">
        <v>2191</v>
      </c>
      <c r="D15" s="207"/>
      <c r="E15" s="25" t="s">
        <v>2248</v>
      </c>
      <c r="F15" s="27" t="s">
        <v>2245</v>
      </c>
      <c r="H15" s="214" t="s">
        <v>10</v>
      </c>
      <c r="I15" s="214">
        <f>SUM(I11:I14)</f>
        <v>41</v>
      </c>
      <c r="J15" s="214"/>
      <c r="K15" s="234"/>
      <c r="M15" s="216"/>
      <c r="N15" s="217" t="s">
        <v>2</v>
      </c>
      <c r="O15" s="217" t="s">
        <v>3</v>
      </c>
      <c r="P15" s="218" t="s">
        <v>4</v>
      </c>
    </row>
    <row r="16" spans="1:16" ht="30">
      <c r="A16" s="234"/>
      <c r="B16" s="41" t="s">
        <v>2209</v>
      </c>
      <c r="C16" s="27" t="s">
        <v>2189</v>
      </c>
      <c r="D16" s="207"/>
      <c r="E16" s="25"/>
      <c r="F16" s="27" t="s">
        <v>2245</v>
      </c>
      <c r="M16" s="211" t="s">
        <v>8</v>
      </c>
      <c r="N16" s="219">
        <f t="shared" ref="N16:N19" si="0">I11+I23</f>
        <v>58</v>
      </c>
      <c r="O16" s="220">
        <f>IFERROR((N16/N20),0)</f>
        <v>0.86567164179104472</v>
      </c>
      <c r="P16" s="279">
        <f>IFERROR((N16/N20),0)</f>
        <v>0.86567164179104472</v>
      </c>
    </row>
    <row r="17" spans="1:16" ht="30">
      <c r="A17" s="277" t="s">
        <v>2210</v>
      </c>
      <c r="B17" s="57" t="s">
        <v>2211</v>
      </c>
      <c r="C17" s="27" t="s">
        <v>2189</v>
      </c>
      <c r="D17" s="207"/>
      <c r="E17" s="28"/>
      <c r="F17" s="27" t="s">
        <v>2249</v>
      </c>
      <c r="M17" s="211" t="s">
        <v>9</v>
      </c>
      <c r="N17" s="219">
        <f t="shared" si="0"/>
        <v>5</v>
      </c>
      <c r="O17" s="220">
        <f>IFERROR((N17/N20),0)</f>
        <v>7.4626865671641784E-2</v>
      </c>
      <c r="P17" s="235"/>
    </row>
    <row r="18" spans="1:16" ht="30">
      <c r="A18" s="235"/>
      <c r="B18" s="57" t="s">
        <v>2214</v>
      </c>
      <c r="C18" s="27" t="s">
        <v>2189</v>
      </c>
      <c r="D18" s="207"/>
      <c r="E18" s="28"/>
      <c r="F18" s="27" t="s">
        <v>2249</v>
      </c>
      <c r="M18" s="211" t="s">
        <v>2204</v>
      </c>
      <c r="N18" s="219">
        <f t="shared" si="0"/>
        <v>0</v>
      </c>
      <c r="O18" s="220">
        <f>IFERROR((N18/N20),0)</f>
        <v>0</v>
      </c>
      <c r="P18" s="235"/>
    </row>
    <row r="19" spans="1:16" ht="30">
      <c r="A19" s="235"/>
      <c r="B19" s="57" t="s">
        <v>2205</v>
      </c>
      <c r="C19" s="27" t="s">
        <v>2189</v>
      </c>
      <c r="D19" s="207"/>
      <c r="E19" s="28"/>
      <c r="F19" s="27" t="s">
        <v>2249</v>
      </c>
      <c r="M19" s="211" t="s">
        <v>2206</v>
      </c>
      <c r="N19" s="219">
        <f t="shared" si="0"/>
        <v>4</v>
      </c>
      <c r="O19" s="220">
        <f>IFERROR((N19/N20),0)</f>
        <v>5.9701492537313432E-2</v>
      </c>
      <c r="P19" s="235"/>
    </row>
    <row r="20" spans="1:16" ht="19.5">
      <c r="A20" s="235"/>
      <c r="B20" s="57" t="s">
        <v>2207</v>
      </c>
      <c r="C20" s="27" t="s">
        <v>2189</v>
      </c>
      <c r="D20" s="207"/>
      <c r="E20" s="28"/>
      <c r="F20" s="27" t="s">
        <v>2249</v>
      </c>
      <c r="M20" s="221" t="s">
        <v>2250</v>
      </c>
      <c r="N20" s="222">
        <f>SUM(N16:N19)</f>
        <v>67</v>
      </c>
      <c r="O20" s="28"/>
      <c r="P20" s="234"/>
    </row>
    <row r="21" spans="1:16" ht="14.25">
      <c r="A21" s="235"/>
      <c r="B21" s="57" t="s">
        <v>2209</v>
      </c>
      <c r="C21" s="27" t="s">
        <v>2189</v>
      </c>
      <c r="D21" s="207"/>
      <c r="E21" s="57"/>
      <c r="F21" s="27" t="s">
        <v>2249</v>
      </c>
      <c r="H21" s="249" t="s">
        <v>2251</v>
      </c>
      <c r="I21" s="237"/>
      <c r="J21" s="237"/>
      <c r="K21" s="238"/>
    </row>
    <row r="22" spans="1:16" ht="15">
      <c r="A22" s="234"/>
      <c r="B22" s="57" t="s">
        <v>2217</v>
      </c>
      <c r="C22" s="27" t="s">
        <v>2189</v>
      </c>
      <c r="D22" s="207"/>
      <c r="E22" s="28"/>
      <c r="F22" s="27" t="s">
        <v>2249</v>
      </c>
      <c r="H22" s="4"/>
      <c r="I22" s="5" t="s">
        <v>2</v>
      </c>
      <c r="J22" s="5" t="s">
        <v>3</v>
      </c>
      <c r="K22" s="210" t="s">
        <v>4</v>
      </c>
    </row>
    <row r="23" spans="1:16" ht="30">
      <c r="A23" s="277" t="s">
        <v>2218</v>
      </c>
      <c r="B23" s="57" t="s">
        <v>2219</v>
      </c>
      <c r="C23" s="27" t="s">
        <v>2189</v>
      </c>
      <c r="D23" s="207"/>
      <c r="E23" s="28"/>
      <c r="F23" s="27" t="s">
        <v>2252</v>
      </c>
      <c r="H23" s="211" t="s">
        <v>8</v>
      </c>
      <c r="I23" s="212">
        <f>COUNTIF(C51:C76,H4)</f>
        <v>23</v>
      </c>
      <c r="J23" s="213">
        <f>IFERROR((I23/I27),0)</f>
        <v>0.88461538461538458</v>
      </c>
      <c r="K23" s="250">
        <f>(IFERROR((I23/I27),0))</f>
        <v>0.88461538461538458</v>
      </c>
    </row>
    <row r="24" spans="1:16" ht="30">
      <c r="A24" s="235"/>
      <c r="B24" s="57" t="s">
        <v>2205</v>
      </c>
      <c r="C24" s="27" t="s">
        <v>2189</v>
      </c>
      <c r="D24" s="207"/>
      <c r="E24" s="28"/>
      <c r="F24" s="27" t="s">
        <v>2252</v>
      </c>
      <c r="H24" s="211" t="s">
        <v>9</v>
      </c>
      <c r="I24" s="212">
        <f>COUNTIF(C51:C76,H5)</f>
        <v>0</v>
      </c>
      <c r="J24" s="213">
        <f>IFERROR((I24/I27),0)</f>
        <v>0</v>
      </c>
      <c r="K24" s="235"/>
    </row>
    <row r="25" spans="1:16" ht="30">
      <c r="A25" s="235"/>
      <c r="B25" s="57" t="s">
        <v>2207</v>
      </c>
      <c r="C25" s="27" t="s">
        <v>2189</v>
      </c>
      <c r="D25" s="207"/>
      <c r="E25" s="28"/>
      <c r="F25" s="27" t="s">
        <v>2252</v>
      </c>
      <c r="H25" s="211" t="s">
        <v>2204</v>
      </c>
      <c r="I25" s="212">
        <f>COUNTIF(C51:C76,H6)</f>
        <v>0</v>
      </c>
      <c r="J25" s="213">
        <f>IFERROR((I25/I27),0)</f>
        <v>0</v>
      </c>
      <c r="K25" s="235"/>
    </row>
    <row r="26" spans="1:16" ht="30">
      <c r="A26" s="235"/>
      <c r="B26" s="57" t="s">
        <v>2253</v>
      </c>
      <c r="C26" s="27" t="s">
        <v>2189</v>
      </c>
      <c r="D26" s="223"/>
      <c r="E26" s="57"/>
      <c r="F26" s="27" t="s">
        <v>2252</v>
      </c>
      <c r="H26" s="211" t="s">
        <v>2206</v>
      </c>
      <c r="I26" s="212">
        <f>COUNTIF(C51:C76,H7)</f>
        <v>3</v>
      </c>
      <c r="J26" s="213">
        <f>IFERROR((I26/I27),0)</f>
        <v>0.11538461538461539</v>
      </c>
      <c r="K26" s="235"/>
    </row>
    <row r="27" spans="1:16" ht="19.5">
      <c r="A27" s="235"/>
      <c r="B27" s="57" t="s">
        <v>2205</v>
      </c>
      <c r="C27" s="27" t="s">
        <v>2189</v>
      </c>
      <c r="D27" s="207"/>
      <c r="E27" s="28"/>
      <c r="F27" s="27" t="s">
        <v>2252</v>
      </c>
      <c r="H27" s="214" t="s">
        <v>10</v>
      </c>
      <c r="I27" s="214">
        <f>SUM(I23:I26)</f>
        <v>26</v>
      </c>
      <c r="J27" s="214"/>
      <c r="K27" s="234"/>
    </row>
    <row r="28" spans="1:16" ht="12.75">
      <c r="A28" s="235"/>
      <c r="B28" s="57" t="s">
        <v>2207</v>
      </c>
      <c r="C28" s="27" t="s">
        <v>2189</v>
      </c>
      <c r="D28" s="207"/>
      <c r="E28" s="28"/>
      <c r="F28" s="27" t="s">
        <v>2252</v>
      </c>
    </row>
    <row r="29" spans="1:16" ht="12.75">
      <c r="A29" s="234"/>
      <c r="B29" s="57" t="s">
        <v>2209</v>
      </c>
      <c r="C29" s="27" t="s">
        <v>2189</v>
      </c>
      <c r="D29" s="208"/>
      <c r="E29" s="57"/>
      <c r="F29" s="27" t="s">
        <v>2252</v>
      </c>
    </row>
    <row r="30" spans="1:16" ht="12.75">
      <c r="A30" s="277" t="s">
        <v>2223</v>
      </c>
      <c r="B30" s="57" t="s">
        <v>2224</v>
      </c>
      <c r="C30" s="27" t="s">
        <v>2189</v>
      </c>
      <c r="D30" s="207"/>
      <c r="E30" s="25"/>
      <c r="F30" s="224" t="s">
        <v>2254</v>
      </c>
    </row>
    <row r="31" spans="1:16" ht="12.75">
      <c r="A31" s="235"/>
      <c r="B31" s="57" t="s">
        <v>2205</v>
      </c>
      <c r="C31" s="27" t="s">
        <v>2189</v>
      </c>
      <c r="D31" s="207"/>
      <c r="E31" s="28"/>
      <c r="F31" s="224" t="s">
        <v>2254</v>
      </c>
    </row>
    <row r="32" spans="1:16" ht="12.75">
      <c r="A32" s="235"/>
      <c r="B32" s="57" t="s">
        <v>2207</v>
      </c>
      <c r="C32" s="27" t="s">
        <v>2189</v>
      </c>
      <c r="D32" s="207"/>
      <c r="E32" s="28"/>
      <c r="F32" s="224" t="s">
        <v>2254</v>
      </c>
    </row>
    <row r="33" spans="1:6" ht="12.75">
      <c r="A33" s="234"/>
      <c r="B33" s="57" t="s">
        <v>2209</v>
      </c>
      <c r="C33" s="27" t="s">
        <v>2189</v>
      </c>
      <c r="D33" s="208"/>
      <c r="E33" s="57"/>
      <c r="F33" s="224" t="s">
        <v>2254</v>
      </c>
    </row>
    <row r="34" spans="1:6" ht="12.75">
      <c r="A34" s="277" t="s">
        <v>2225</v>
      </c>
      <c r="B34" s="57" t="s">
        <v>2226</v>
      </c>
      <c r="C34" s="27" t="s">
        <v>2191</v>
      </c>
      <c r="D34" s="207"/>
      <c r="E34" s="57" t="s">
        <v>2255</v>
      </c>
      <c r="F34" s="27" t="s">
        <v>2256</v>
      </c>
    </row>
    <row r="35" spans="1:6" ht="12.75">
      <c r="A35" s="235"/>
      <c r="B35" s="57" t="s">
        <v>2227</v>
      </c>
      <c r="C35" s="27" t="s">
        <v>2189</v>
      </c>
      <c r="D35" s="207"/>
      <c r="E35" s="28"/>
      <c r="F35" s="27" t="s">
        <v>2256</v>
      </c>
    </row>
    <row r="36" spans="1:6" ht="12.75">
      <c r="A36" s="235"/>
      <c r="B36" s="57" t="s">
        <v>2205</v>
      </c>
      <c r="C36" s="27" t="s">
        <v>2191</v>
      </c>
      <c r="D36" s="207"/>
      <c r="E36" s="57" t="s">
        <v>2257</v>
      </c>
      <c r="F36" s="27" t="s">
        <v>2256</v>
      </c>
    </row>
    <row r="37" spans="1:6" ht="12.75">
      <c r="A37" s="235"/>
      <c r="B37" s="57" t="s">
        <v>2207</v>
      </c>
      <c r="C37" s="27" t="s">
        <v>2189</v>
      </c>
      <c r="D37" s="207"/>
      <c r="E37" s="28"/>
      <c r="F37" s="27" t="s">
        <v>2258</v>
      </c>
    </row>
    <row r="38" spans="1:6" ht="12.75">
      <c r="A38" s="235"/>
      <c r="B38" s="57" t="s">
        <v>2209</v>
      </c>
      <c r="C38" s="27" t="s">
        <v>2189</v>
      </c>
      <c r="D38" s="207"/>
      <c r="E38" s="28"/>
      <c r="F38" s="27" t="s">
        <v>2258</v>
      </c>
    </row>
    <row r="39" spans="1:6" ht="12.75">
      <c r="A39" s="235"/>
      <c r="B39" s="57" t="s">
        <v>2229</v>
      </c>
      <c r="C39" s="27" t="s">
        <v>2189</v>
      </c>
      <c r="D39" s="207"/>
      <c r="E39" s="28"/>
      <c r="F39" s="27" t="s">
        <v>2258</v>
      </c>
    </row>
    <row r="40" spans="1:6" ht="12.75">
      <c r="A40" s="235"/>
      <c r="B40" s="57" t="s">
        <v>2230</v>
      </c>
      <c r="C40" s="27" t="s">
        <v>2189</v>
      </c>
      <c r="D40" s="208"/>
      <c r="E40" s="23"/>
      <c r="F40" s="27" t="s">
        <v>2258</v>
      </c>
    </row>
    <row r="41" spans="1:6" ht="12.75">
      <c r="A41" s="234"/>
      <c r="B41" s="57" t="s">
        <v>2231</v>
      </c>
      <c r="C41" s="27" t="s">
        <v>2189</v>
      </c>
      <c r="D41" s="207"/>
      <c r="E41" s="57"/>
      <c r="F41" s="27" t="s">
        <v>2258</v>
      </c>
    </row>
    <row r="42" spans="1:6" ht="12.75">
      <c r="A42" s="277" t="s">
        <v>2232</v>
      </c>
      <c r="B42" s="57" t="s">
        <v>2224</v>
      </c>
      <c r="C42" s="27" t="s">
        <v>2189</v>
      </c>
      <c r="D42" s="207"/>
      <c r="E42" s="25"/>
      <c r="F42" s="27" t="s">
        <v>2259</v>
      </c>
    </row>
    <row r="43" spans="1:6" ht="12.75">
      <c r="A43" s="235"/>
      <c r="B43" s="57" t="s">
        <v>2205</v>
      </c>
      <c r="C43" s="27" t="s">
        <v>2189</v>
      </c>
      <c r="D43" s="207"/>
      <c r="E43" s="25"/>
      <c r="F43" s="27" t="s">
        <v>2259</v>
      </c>
    </row>
    <row r="44" spans="1:6" ht="12.75">
      <c r="A44" s="235"/>
      <c r="B44" s="57" t="s">
        <v>2207</v>
      </c>
      <c r="C44" s="27" t="s">
        <v>2189</v>
      </c>
      <c r="D44" s="207"/>
      <c r="E44" s="28"/>
      <c r="F44" s="27" t="s">
        <v>2259</v>
      </c>
    </row>
    <row r="45" spans="1:6" ht="12.75">
      <c r="A45" s="234"/>
      <c r="B45" s="57" t="s">
        <v>2209</v>
      </c>
      <c r="C45" s="27" t="s">
        <v>2189</v>
      </c>
      <c r="D45" s="207"/>
      <c r="E45" s="28"/>
      <c r="F45" s="27" t="s">
        <v>2259</v>
      </c>
    </row>
    <row r="47" spans="1:6" ht="16.5">
      <c r="A47" s="225" t="s">
        <v>2260</v>
      </c>
      <c r="B47" s="203" t="s">
        <v>2241</v>
      </c>
      <c r="C47" s="69"/>
      <c r="D47" s="69"/>
      <c r="E47" s="69"/>
      <c r="F47" s="69"/>
    </row>
    <row r="48" spans="1:6" ht="12.75">
      <c r="A48" s="69"/>
      <c r="B48" s="69"/>
      <c r="C48" s="69"/>
      <c r="D48" s="69"/>
      <c r="E48" s="69"/>
      <c r="F48" s="69"/>
    </row>
    <row r="49" spans="1:6" ht="12.75">
      <c r="A49" s="69"/>
      <c r="B49" s="69"/>
      <c r="C49" s="69"/>
      <c r="D49" s="69"/>
      <c r="E49" s="69"/>
      <c r="F49" s="69"/>
    </row>
    <row r="50" spans="1:6">
      <c r="A50" s="204" t="s">
        <v>2184</v>
      </c>
      <c r="B50" s="205" t="s">
        <v>2185</v>
      </c>
      <c r="C50" s="206" t="s">
        <v>2186</v>
      </c>
      <c r="D50" s="206" t="s">
        <v>2187</v>
      </c>
      <c r="E50" s="206" t="s">
        <v>2188</v>
      </c>
      <c r="F50" s="206" t="s">
        <v>1741</v>
      </c>
    </row>
    <row r="51" spans="1:6" ht="12.75">
      <c r="A51" s="277" t="s">
        <v>2048</v>
      </c>
      <c r="B51" s="57" t="s">
        <v>2045</v>
      </c>
      <c r="C51" s="27" t="s">
        <v>2189</v>
      </c>
      <c r="D51" s="207"/>
      <c r="E51" s="57"/>
      <c r="F51" s="27" t="s">
        <v>2261</v>
      </c>
    </row>
    <row r="52" spans="1:6" ht="12.75">
      <c r="A52" s="235"/>
      <c r="B52" s="41" t="s">
        <v>2046</v>
      </c>
      <c r="C52" s="27" t="s">
        <v>2189</v>
      </c>
      <c r="D52" s="208"/>
      <c r="E52" s="25"/>
      <c r="F52" s="27" t="s">
        <v>2261</v>
      </c>
    </row>
    <row r="53" spans="1:6" ht="12.75">
      <c r="A53" s="235"/>
      <c r="B53" s="41" t="s">
        <v>2193</v>
      </c>
      <c r="C53" s="27" t="s">
        <v>2189</v>
      </c>
      <c r="D53" s="208"/>
      <c r="E53" s="25"/>
      <c r="F53" s="27" t="s">
        <v>2261</v>
      </c>
    </row>
    <row r="54" spans="1:6" ht="12.75">
      <c r="A54" s="235"/>
      <c r="B54" s="41" t="s">
        <v>2195</v>
      </c>
      <c r="C54" s="27" t="s">
        <v>2194</v>
      </c>
      <c r="D54" s="226"/>
      <c r="E54" s="25"/>
      <c r="F54" s="27"/>
    </row>
    <row r="55" spans="1:6" ht="12.75">
      <c r="A55" s="235"/>
      <c r="B55" s="41" t="s">
        <v>2196</v>
      </c>
      <c r="C55" s="27" t="s">
        <v>2189</v>
      </c>
      <c r="D55" s="208"/>
      <c r="E55" s="25"/>
      <c r="F55" s="27" t="s">
        <v>2261</v>
      </c>
    </row>
    <row r="56" spans="1:6" ht="12.75">
      <c r="A56" s="234"/>
      <c r="B56" s="41" t="s">
        <v>2198</v>
      </c>
      <c r="C56" s="27" t="s">
        <v>2189</v>
      </c>
      <c r="D56" s="208"/>
      <c r="E56" s="25"/>
      <c r="F56" s="27" t="s">
        <v>2261</v>
      </c>
    </row>
    <row r="57" spans="1:6" ht="12.75">
      <c r="A57" s="277" t="s">
        <v>1558</v>
      </c>
      <c r="B57" s="41" t="s">
        <v>2262</v>
      </c>
      <c r="C57" s="27" t="s">
        <v>2189</v>
      </c>
      <c r="D57" s="208"/>
      <c r="E57" s="25"/>
      <c r="F57" s="27" t="s">
        <v>2263</v>
      </c>
    </row>
    <row r="58" spans="1:6" ht="12.75">
      <c r="A58" s="235"/>
      <c r="B58" s="41" t="s">
        <v>2205</v>
      </c>
      <c r="C58" s="27" t="s">
        <v>2189</v>
      </c>
      <c r="D58" s="208"/>
      <c r="E58" s="25"/>
      <c r="F58" s="27" t="s">
        <v>2263</v>
      </c>
    </row>
    <row r="59" spans="1:6" ht="12.75">
      <c r="A59" s="234"/>
      <c r="B59" s="41" t="s">
        <v>2209</v>
      </c>
      <c r="C59" s="27" t="s">
        <v>2189</v>
      </c>
      <c r="D59" s="207"/>
      <c r="E59" s="25"/>
      <c r="F59" s="27" t="s">
        <v>2263</v>
      </c>
    </row>
    <row r="60" spans="1:6" ht="12.75">
      <c r="A60" s="277" t="s">
        <v>2218</v>
      </c>
      <c r="B60" s="57" t="s">
        <v>2264</v>
      </c>
      <c r="C60" s="27" t="s">
        <v>2189</v>
      </c>
      <c r="D60" s="207"/>
      <c r="E60" s="28"/>
      <c r="F60" s="27" t="s">
        <v>2265</v>
      </c>
    </row>
    <row r="61" spans="1:6" ht="12.75">
      <c r="A61" s="235"/>
      <c r="B61" s="57" t="s">
        <v>2205</v>
      </c>
      <c r="C61" s="27" t="s">
        <v>2189</v>
      </c>
      <c r="D61" s="207"/>
      <c r="E61" s="25"/>
      <c r="F61" s="27" t="s">
        <v>2265</v>
      </c>
    </row>
    <row r="62" spans="1:6" ht="12.75">
      <c r="A62" s="235"/>
      <c r="B62" s="57" t="s">
        <v>2207</v>
      </c>
      <c r="C62" s="27" t="s">
        <v>2189</v>
      </c>
      <c r="D62" s="208"/>
      <c r="E62" s="25"/>
      <c r="F62" s="27" t="s">
        <v>2265</v>
      </c>
    </row>
    <row r="63" spans="1:6" ht="12.75">
      <c r="A63" s="235"/>
      <c r="B63" s="57" t="s">
        <v>2209</v>
      </c>
      <c r="C63" s="27" t="s">
        <v>2189</v>
      </c>
      <c r="D63" s="223"/>
      <c r="E63" s="25"/>
      <c r="F63" s="27" t="s">
        <v>2265</v>
      </c>
    </row>
    <row r="64" spans="1:6" ht="12.75">
      <c r="A64" s="235"/>
      <c r="B64" s="57" t="s">
        <v>2266</v>
      </c>
      <c r="C64" s="27" t="s">
        <v>2189</v>
      </c>
      <c r="D64" s="223"/>
      <c r="E64" s="57"/>
      <c r="F64" s="27" t="s">
        <v>2267</v>
      </c>
    </row>
    <row r="65" spans="1:6" ht="12.75">
      <c r="A65" s="235"/>
      <c r="B65" s="57" t="s">
        <v>2205</v>
      </c>
      <c r="C65" s="27" t="s">
        <v>2189</v>
      </c>
      <c r="D65" s="207"/>
      <c r="E65" s="25"/>
      <c r="F65" s="27" t="s">
        <v>2267</v>
      </c>
    </row>
    <row r="66" spans="1:6" ht="12.75">
      <c r="A66" s="235"/>
      <c r="B66" s="57" t="s">
        <v>2207</v>
      </c>
      <c r="C66" s="27" t="s">
        <v>2189</v>
      </c>
      <c r="D66" s="207"/>
      <c r="E66" s="28"/>
      <c r="F66" s="27" t="s">
        <v>2267</v>
      </c>
    </row>
    <row r="67" spans="1:6" ht="12.75">
      <c r="A67" s="234"/>
      <c r="B67" s="57" t="s">
        <v>2209</v>
      </c>
      <c r="C67" s="27" t="s">
        <v>2189</v>
      </c>
      <c r="D67" s="208"/>
      <c r="E67" s="57"/>
      <c r="F67" s="27" t="s">
        <v>2267</v>
      </c>
    </row>
    <row r="68" spans="1:6" ht="12.75">
      <c r="A68" s="277" t="s">
        <v>2268</v>
      </c>
      <c r="B68" s="57" t="s">
        <v>2269</v>
      </c>
      <c r="C68" s="27" t="s">
        <v>2189</v>
      </c>
      <c r="D68" s="207"/>
      <c r="E68" s="57"/>
      <c r="F68" s="27" t="s">
        <v>2270</v>
      </c>
    </row>
    <row r="69" spans="1:6" ht="12.75">
      <c r="A69" s="235"/>
      <c r="B69" s="57" t="s">
        <v>2205</v>
      </c>
      <c r="C69" s="27" t="s">
        <v>2189</v>
      </c>
      <c r="D69" s="207"/>
      <c r="E69" s="57"/>
      <c r="F69" s="27" t="s">
        <v>2270</v>
      </c>
    </row>
    <row r="70" spans="1:6" ht="12.75">
      <c r="A70" s="235"/>
      <c r="B70" s="57" t="s">
        <v>2207</v>
      </c>
      <c r="C70" s="27" t="s">
        <v>2189</v>
      </c>
      <c r="D70" s="207"/>
      <c r="E70" s="57"/>
      <c r="F70" s="27" t="s">
        <v>2270</v>
      </c>
    </row>
    <row r="71" spans="1:6" ht="12.75">
      <c r="A71" s="234"/>
      <c r="B71" s="57" t="s">
        <v>2209</v>
      </c>
      <c r="C71" s="27" t="s">
        <v>2189</v>
      </c>
      <c r="D71" s="207"/>
      <c r="E71" s="57"/>
      <c r="F71" s="27" t="s">
        <v>2270</v>
      </c>
    </row>
    <row r="72" spans="1:6" ht="12.75">
      <c r="A72" s="280" t="s">
        <v>2271</v>
      </c>
      <c r="B72" s="57" t="s">
        <v>2271</v>
      </c>
      <c r="C72" s="27" t="s">
        <v>2189</v>
      </c>
      <c r="D72" s="207"/>
      <c r="E72" s="57"/>
      <c r="F72" s="27" t="s">
        <v>2272</v>
      </c>
    </row>
    <row r="73" spans="1:6" ht="12.75">
      <c r="A73" s="235"/>
      <c r="B73" s="57" t="s">
        <v>2205</v>
      </c>
      <c r="C73" s="27" t="s">
        <v>2189</v>
      </c>
      <c r="D73" s="207"/>
      <c r="E73" s="57"/>
      <c r="F73" s="27" t="s">
        <v>2272</v>
      </c>
    </row>
    <row r="74" spans="1:6" ht="21.75" customHeight="1">
      <c r="A74" s="235"/>
      <c r="B74" s="57" t="s">
        <v>2207</v>
      </c>
      <c r="C74" s="27" t="s">
        <v>2194</v>
      </c>
      <c r="D74" s="207"/>
      <c r="E74" s="239" t="s">
        <v>2273</v>
      </c>
      <c r="F74" s="27" t="s">
        <v>2272</v>
      </c>
    </row>
    <row r="75" spans="1:6" ht="26.25" customHeight="1">
      <c r="A75" s="234"/>
      <c r="B75" s="57" t="s">
        <v>2209</v>
      </c>
      <c r="C75" s="27" t="s">
        <v>2194</v>
      </c>
      <c r="D75" s="207"/>
      <c r="E75" s="234"/>
      <c r="F75" s="27" t="s">
        <v>2272</v>
      </c>
    </row>
    <row r="76" spans="1:6" ht="12.75">
      <c r="A76" s="227" t="s">
        <v>2274</v>
      </c>
      <c r="B76" s="57" t="s">
        <v>2229</v>
      </c>
      <c r="C76" s="27" t="s">
        <v>2189</v>
      </c>
      <c r="D76" s="207"/>
      <c r="E76" s="28"/>
      <c r="F76" s="27" t="s">
        <v>2275</v>
      </c>
    </row>
  </sheetData>
  <mergeCells count="19">
    <mergeCell ref="H21:K21"/>
    <mergeCell ref="K23:K27"/>
    <mergeCell ref="A60:A67"/>
    <mergeCell ref="A68:A71"/>
    <mergeCell ref="A72:A75"/>
    <mergeCell ref="E74:E75"/>
    <mergeCell ref="A17:A22"/>
    <mergeCell ref="A23:A29"/>
    <mergeCell ref="A30:A33"/>
    <mergeCell ref="A34:A41"/>
    <mergeCell ref="A42:A45"/>
    <mergeCell ref="A51:A56"/>
    <mergeCell ref="A57:A59"/>
    <mergeCell ref="A5:A10"/>
    <mergeCell ref="H9:K9"/>
    <mergeCell ref="A11:A16"/>
    <mergeCell ref="K11:K15"/>
    <mergeCell ref="M14:P14"/>
    <mergeCell ref="P16:P20"/>
  </mergeCells>
  <dataValidations count="1">
    <dataValidation type="list" allowBlank="1" showErrorMessage="1" sqref="C5:C45 C51:C76" xr:uid="{00000000-0002-0000-1D00-000000000000}">
      <formula1>"Failed,N/A,Passed,Invalid"</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H78"/>
  <sheetViews>
    <sheetView workbookViewId="0"/>
  </sheetViews>
  <sheetFormatPr defaultColWidth="12.5703125" defaultRowHeight="15.75" customHeight="1"/>
  <cols>
    <col min="1" max="1" width="36.5703125" customWidth="1"/>
    <col min="2" max="2" width="26.5703125" customWidth="1"/>
    <col min="3" max="3" width="16" customWidth="1"/>
    <col min="4" max="4" width="16.85546875" customWidth="1"/>
    <col min="5" max="5" width="43.42578125" customWidth="1"/>
    <col min="6" max="7" width="25.28515625" customWidth="1"/>
  </cols>
  <sheetData>
    <row r="1" spans="1:7" ht="15.75" customHeight="1">
      <c r="A1" s="215" t="s">
        <v>2182</v>
      </c>
      <c r="B1" s="203" t="s">
        <v>2276</v>
      </c>
      <c r="C1" s="69"/>
      <c r="D1" s="69"/>
      <c r="E1" s="69"/>
      <c r="F1" s="69"/>
      <c r="G1" s="69"/>
    </row>
    <row r="2" spans="1:7">
      <c r="A2" s="69"/>
      <c r="B2" s="69"/>
      <c r="C2" s="69"/>
      <c r="D2" s="69"/>
      <c r="E2" s="69"/>
      <c r="F2" s="69"/>
      <c r="G2" s="69"/>
    </row>
    <row r="3" spans="1:7">
      <c r="A3" s="69"/>
      <c r="B3" s="69"/>
      <c r="C3" s="69"/>
      <c r="D3" s="69"/>
      <c r="E3" s="69"/>
      <c r="F3" s="69"/>
      <c r="G3" s="69"/>
    </row>
    <row r="4" spans="1:7" ht="15.75" customHeight="1">
      <c r="A4" s="204" t="s">
        <v>2184</v>
      </c>
      <c r="B4" s="205" t="s">
        <v>2185</v>
      </c>
      <c r="C4" s="206" t="s">
        <v>2186</v>
      </c>
      <c r="D4" s="206" t="s">
        <v>2187</v>
      </c>
      <c r="E4" s="206" t="s">
        <v>2188</v>
      </c>
      <c r="F4" s="206" t="s">
        <v>1741</v>
      </c>
    </row>
    <row r="5" spans="1:7">
      <c r="A5" s="277" t="s">
        <v>2047</v>
      </c>
      <c r="B5" s="57" t="s">
        <v>2045</v>
      </c>
      <c r="C5" s="27" t="s">
        <v>2189</v>
      </c>
      <c r="D5" s="207"/>
      <c r="E5" s="57"/>
      <c r="F5" s="27" t="s">
        <v>2277</v>
      </c>
    </row>
    <row r="6" spans="1:7">
      <c r="A6" s="235"/>
      <c r="B6" s="41" t="s">
        <v>2046</v>
      </c>
      <c r="C6" s="27" t="s">
        <v>2189</v>
      </c>
      <c r="D6" s="208"/>
      <c r="E6" s="25"/>
      <c r="F6" s="27" t="s">
        <v>2277</v>
      </c>
    </row>
    <row r="7" spans="1:7">
      <c r="A7" s="235"/>
      <c r="B7" s="41" t="s">
        <v>2193</v>
      </c>
      <c r="C7" s="27" t="s">
        <v>2189</v>
      </c>
      <c r="D7" s="208"/>
      <c r="E7" s="25"/>
      <c r="F7" s="27" t="s">
        <v>2277</v>
      </c>
    </row>
    <row r="8" spans="1:7">
      <c r="A8" s="235"/>
      <c r="B8" s="41" t="s">
        <v>2195</v>
      </c>
      <c r="C8" s="27" t="s">
        <v>2189</v>
      </c>
      <c r="D8" s="208"/>
      <c r="E8" s="25"/>
      <c r="F8" s="27" t="s">
        <v>2277</v>
      </c>
    </row>
    <row r="9" spans="1:7">
      <c r="A9" s="235"/>
      <c r="B9" s="41" t="s">
        <v>2196</v>
      </c>
      <c r="C9" s="27" t="s">
        <v>2189</v>
      </c>
      <c r="D9" s="208"/>
      <c r="E9" s="25"/>
      <c r="F9" s="27" t="s">
        <v>2277</v>
      </c>
    </row>
    <row r="10" spans="1:7">
      <c r="A10" s="234"/>
      <c r="B10" s="41" t="s">
        <v>2198</v>
      </c>
      <c r="C10" s="27" t="s">
        <v>2189</v>
      </c>
      <c r="D10" s="208"/>
      <c r="E10" s="25"/>
      <c r="F10" s="27" t="s">
        <v>2277</v>
      </c>
    </row>
    <row r="11" spans="1:7">
      <c r="A11" s="277" t="s">
        <v>1558</v>
      </c>
      <c r="B11" s="41" t="s">
        <v>2199</v>
      </c>
      <c r="C11" s="27" t="s">
        <v>2191</v>
      </c>
      <c r="D11" s="228" t="s">
        <v>2278</v>
      </c>
      <c r="E11" s="25" t="s">
        <v>2279</v>
      </c>
      <c r="F11" s="27" t="s">
        <v>2275</v>
      </c>
    </row>
    <row r="12" spans="1:7">
      <c r="A12" s="235"/>
      <c r="B12" s="41" t="s">
        <v>2201</v>
      </c>
      <c r="C12" s="27" t="s">
        <v>2191</v>
      </c>
      <c r="D12" s="207"/>
      <c r="E12" s="28"/>
      <c r="F12" s="27" t="s">
        <v>2275</v>
      </c>
    </row>
    <row r="13" spans="1:7">
      <c r="A13" s="235"/>
      <c r="B13" s="41" t="s">
        <v>2202</v>
      </c>
      <c r="C13" s="27" t="s">
        <v>2194</v>
      </c>
      <c r="D13" s="207"/>
      <c r="E13" s="25" t="s">
        <v>2280</v>
      </c>
      <c r="F13" s="27" t="s">
        <v>2281</v>
      </c>
    </row>
    <row r="14" spans="1:7">
      <c r="A14" s="235"/>
      <c r="B14" s="41" t="s">
        <v>2205</v>
      </c>
      <c r="C14" s="27" t="s">
        <v>2194</v>
      </c>
      <c r="D14" s="207"/>
      <c r="E14" s="57" t="s">
        <v>2282</v>
      </c>
      <c r="F14" s="27" t="s">
        <v>2283</v>
      </c>
    </row>
    <row r="15" spans="1:7">
      <c r="A15" s="235"/>
      <c r="B15" s="41" t="s">
        <v>2207</v>
      </c>
      <c r="C15" s="27" t="s">
        <v>2194</v>
      </c>
      <c r="D15" s="207"/>
      <c r="E15" s="25" t="s">
        <v>2284</v>
      </c>
      <c r="F15" s="27" t="s">
        <v>2285</v>
      </c>
    </row>
    <row r="16" spans="1:7">
      <c r="A16" s="234"/>
      <c r="B16" s="41" t="s">
        <v>2209</v>
      </c>
      <c r="C16" s="27" t="s">
        <v>2194</v>
      </c>
      <c r="D16" s="207"/>
      <c r="E16" s="25" t="s">
        <v>2286</v>
      </c>
      <c r="F16" s="27" t="s">
        <v>2285</v>
      </c>
    </row>
    <row r="17" spans="1:6">
      <c r="A17" s="277" t="s">
        <v>2210</v>
      </c>
      <c r="B17" s="57" t="s">
        <v>2211</v>
      </c>
      <c r="C17" s="27" t="s">
        <v>2189</v>
      </c>
      <c r="D17" s="207"/>
      <c r="E17" s="28"/>
      <c r="F17" s="27" t="s">
        <v>2258</v>
      </c>
    </row>
    <row r="18" spans="1:6">
      <c r="A18" s="235"/>
      <c r="B18" s="57" t="s">
        <v>2214</v>
      </c>
      <c r="C18" s="27" t="s">
        <v>2189</v>
      </c>
      <c r="D18" s="207"/>
      <c r="E18" s="28"/>
      <c r="F18" s="27" t="s">
        <v>2258</v>
      </c>
    </row>
    <row r="19" spans="1:6">
      <c r="A19" s="235"/>
      <c r="B19" s="57" t="s">
        <v>2205</v>
      </c>
      <c r="C19" s="27" t="s">
        <v>2189</v>
      </c>
      <c r="D19" s="207"/>
      <c r="E19" s="28"/>
      <c r="F19" s="27" t="s">
        <v>2258</v>
      </c>
    </row>
    <row r="20" spans="1:6">
      <c r="A20" s="235"/>
      <c r="B20" s="57" t="s">
        <v>2207</v>
      </c>
      <c r="C20" s="27" t="s">
        <v>2189</v>
      </c>
      <c r="D20" s="207"/>
      <c r="E20" s="28"/>
      <c r="F20" s="27" t="s">
        <v>2258</v>
      </c>
    </row>
    <row r="21" spans="1:6">
      <c r="A21" s="235"/>
      <c r="B21" s="57" t="s">
        <v>2209</v>
      </c>
      <c r="C21" s="27" t="s">
        <v>2189</v>
      </c>
      <c r="D21" s="207"/>
      <c r="E21" s="57"/>
      <c r="F21" s="27" t="s">
        <v>2258</v>
      </c>
    </row>
    <row r="22" spans="1:6">
      <c r="A22" s="234"/>
      <c r="B22" s="57" t="s">
        <v>2217</v>
      </c>
      <c r="C22" s="27" t="s">
        <v>2189</v>
      </c>
      <c r="D22" s="207"/>
      <c r="E22" s="28"/>
      <c r="F22" s="27" t="s">
        <v>2258</v>
      </c>
    </row>
    <row r="23" spans="1:6">
      <c r="A23" s="277" t="s">
        <v>2218</v>
      </c>
      <c r="B23" s="57" t="s">
        <v>2219</v>
      </c>
      <c r="C23" s="27" t="s">
        <v>2189</v>
      </c>
      <c r="D23" s="207"/>
      <c r="E23" s="28"/>
      <c r="F23" s="27" t="s">
        <v>2249</v>
      </c>
    </row>
    <row r="24" spans="1:6">
      <c r="A24" s="235"/>
      <c r="B24" s="57" t="s">
        <v>2205</v>
      </c>
      <c r="C24" s="27" t="s">
        <v>2189</v>
      </c>
      <c r="D24" s="207"/>
      <c r="E24" s="28"/>
      <c r="F24" s="27" t="s">
        <v>2249</v>
      </c>
    </row>
    <row r="25" spans="1:6">
      <c r="A25" s="235"/>
      <c r="B25" s="57" t="s">
        <v>2207</v>
      </c>
      <c r="C25" s="27" t="s">
        <v>2189</v>
      </c>
      <c r="D25" s="207"/>
      <c r="E25" s="28"/>
      <c r="F25" s="27" t="s">
        <v>2249</v>
      </c>
    </row>
    <row r="26" spans="1:6">
      <c r="A26" s="235"/>
      <c r="B26" s="57" t="s">
        <v>2253</v>
      </c>
      <c r="C26" s="27" t="s">
        <v>2189</v>
      </c>
      <c r="D26" s="223"/>
      <c r="E26" s="57"/>
      <c r="F26" s="27" t="s">
        <v>2256</v>
      </c>
    </row>
    <row r="27" spans="1:6">
      <c r="A27" s="235"/>
      <c r="B27" s="57" t="s">
        <v>2205</v>
      </c>
      <c r="C27" s="27" t="s">
        <v>2189</v>
      </c>
      <c r="D27" s="207"/>
      <c r="E27" s="28"/>
      <c r="F27" s="27" t="s">
        <v>2249</v>
      </c>
    </row>
    <row r="28" spans="1:6">
      <c r="A28" s="235"/>
      <c r="B28" s="57" t="s">
        <v>2207</v>
      </c>
      <c r="C28" s="27" t="s">
        <v>2189</v>
      </c>
      <c r="D28" s="207"/>
      <c r="E28" s="28"/>
      <c r="F28" s="27" t="s">
        <v>2249</v>
      </c>
    </row>
    <row r="29" spans="1:6">
      <c r="A29" s="235"/>
      <c r="B29" s="57" t="s">
        <v>2209</v>
      </c>
      <c r="C29" s="27" t="s">
        <v>2189</v>
      </c>
      <c r="D29" s="208"/>
      <c r="E29" s="57"/>
      <c r="F29" s="27" t="s">
        <v>2245</v>
      </c>
    </row>
    <row r="30" spans="1:6">
      <c r="A30" s="234"/>
      <c r="B30" s="57" t="s">
        <v>2287</v>
      </c>
      <c r="C30" s="27" t="s">
        <v>2189</v>
      </c>
      <c r="D30" s="207"/>
      <c r="E30" s="28"/>
      <c r="F30" s="27" t="s">
        <v>2288</v>
      </c>
    </row>
    <row r="31" spans="1:6">
      <c r="A31" s="277" t="s">
        <v>2223</v>
      </c>
      <c r="B31" s="57" t="s">
        <v>2224</v>
      </c>
      <c r="C31" s="27" t="s">
        <v>2191</v>
      </c>
      <c r="D31" s="207"/>
      <c r="E31" s="36" t="s">
        <v>1028</v>
      </c>
      <c r="F31" s="27" t="s">
        <v>2289</v>
      </c>
    </row>
    <row r="32" spans="1:6">
      <c r="A32" s="235"/>
      <c r="B32" s="57" t="s">
        <v>2205</v>
      </c>
      <c r="C32" s="27" t="s">
        <v>2189</v>
      </c>
      <c r="D32" s="207"/>
      <c r="E32" s="28"/>
      <c r="F32" s="27" t="s">
        <v>2289</v>
      </c>
    </row>
    <row r="33" spans="1:8">
      <c r="A33" s="235"/>
      <c r="B33" s="57" t="s">
        <v>2207</v>
      </c>
      <c r="C33" s="27" t="s">
        <v>2189</v>
      </c>
      <c r="D33" s="207"/>
      <c r="E33" s="28"/>
      <c r="F33" s="27" t="s">
        <v>2289</v>
      </c>
    </row>
    <row r="34" spans="1:8">
      <c r="A34" s="234"/>
      <c r="B34" s="57" t="s">
        <v>2209</v>
      </c>
      <c r="C34" s="27" t="s">
        <v>2189</v>
      </c>
      <c r="D34" s="228" t="s">
        <v>2290</v>
      </c>
      <c r="E34" s="57"/>
      <c r="F34" s="27" t="s">
        <v>2289</v>
      </c>
    </row>
    <row r="35" spans="1:8">
      <c r="A35" s="277" t="s">
        <v>2225</v>
      </c>
      <c r="B35" s="57" t="s">
        <v>2226</v>
      </c>
      <c r="C35" s="27" t="s">
        <v>2189</v>
      </c>
      <c r="D35" s="207"/>
      <c r="E35" s="28"/>
      <c r="F35" s="27" t="s">
        <v>2270</v>
      </c>
    </row>
    <row r="36" spans="1:8">
      <c r="A36" s="235"/>
      <c r="B36" s="57" t="s">
        <v>2227</v>
      </c>
      <c r="C36" s="27" t="s">
        <v>2189</v>
      </c>
      <c r="D36" s="207"/>
      <c r="E36" s="28"/>
      <c r="F36" s="27" t="s">
        <v>2270</v>
      </c>
    </row>
    <row r="37" spans="1:8">
      <c r="A37" s="235"/>
      <c r="B37" s="57" t="s">
        <v>2205</v>
      </c>
      <c r="C37" s="27" t="s">
        <v>2189</v>
      </c>
      <c r="D37" s="207"/>
      <c r="E37" s="28"/>
      <c r="F37" s="27" t="s">
        <v>2270</v>
      </c>
    </row>
    <row r="38" spans="1:8" ht="12.75">
      <c r="A38" s="235"/>
      <c r="B38" s="57" t="s">
        <v>2207</v>
      </c>
      <c r="C38" s="27" t="s">
        <v>2189</v>
      </c>
      <c r="D38" s="207"/>
      <c r="E38" s="28"/>
      <c r="F38" s="27" t="s">
        <v>2291</v>
      </c>
    </row>
    <row r="39" spans="1:8" ht="12.75">
      <c r="A39" s="235"/>
      <c r="B39" s="57" t="s">
        <v>2209</v>
      </c>
      <c r="C39" s="27" t="s">
        <v>2189</v>
      </c>
      <c r="D39" s="207"/>
      <c r="E39" s="28"/>
      <c r="F39" s="27" t="s">
        <v>2291</v>
      </c>
    </row>
    <row r="40" spans="1:8" ht="12.75">
      <c r="A40" s="235"/>
      <c r="B40" s="57" t="s">
        <v>2229</v>
      </c>
      <c r="C40" s="27" t="s">
        <v>2189</v>
      </c>
      <c r="D40" s="207"/>
      <c r="E40" s="28"/>
      <c r="F40" s="27" t="s">
        <v>2291</v>
      </c>
    </row>
    <row r="41" spans="1:8" ht="25.5">
      <c r="A41" s="235"/>
      <c r="B41" s="57" t="s">
        <v>2230</v>
      </c>
      <c r="C41" s="27" t="s">
        <v>2191</v>
      </c>
      <c r="D41" s="228" t="s">
        <v>2292</v>
      </c>
      <c r="E41" s="23" t="s">
        <v>2293</v>
      </c>
      <c r="F41" s="27" t="s">
        <v>2270</v>
      </c>
    </row>
    <row r="42" spans="1:8" ht="12.75">
      <c r="A42" s="234"/>
      <c r="B42" s="57" t="s">
        <v>2231</v>
      </c>
      <c r="C42" s="27" t="s">
        <v>2189</v>
      </c>
      <c r="D42" s="207"/>
      <c r="E42" s="57"/>
      <c r="F42" s="27" t="s">
        <v>2245</v>
      </c>
    </row>
    <row r="43" spans="1:8" ht="12.75">
      <c r="A43" s="277" t="s">
        <v>2232</v>
      </c>
      <c r="B43" s="57" t="s">
        <v>2224</v>
      </c>
      <c r="C43" s="27" t="s">
        <v>2189</v>
      </c>
      <c r="D43" s="207"/>
      <c r="E43" s="25"/>
      <c r="F43" s="27" t="s">
        <v>2245</v>
      </c>
      <c r="G43" s="42"/>
      <c r="H43" s="42"/>
    </row>
    <row r="44" spans="1:8" ht="12.75">
      <c r="A44" s="235"/>
      <c r="B44" s="57" t="s">
        <v>2205</v>
      </c>
      <c r="C44" s="27" t="s">
        <v>2189</v>
      </c>
      <c r="D44" s="207"/>
      <c r="E44" s="25"/>
      <c r="F44" s="27" t="s">
        <v>2245</v>
      </c>
    </row>
    <row r="45" spans="1:8" ht="12.75">
      <c r="A45" s="235"/>
      <c r="B45" s="57" t="s">
        <v>2207</v>
      </c>
      <c r="C45" s="27" t="s">
        <v>2189</v>
      </c>
      <c r="D45" s="207"/>
      <c r="E45" s="28"/>
      <c r="F45" s="27" t="s">
        <v>2294</v>
      </c>
    </row>
    <row r="46" spans="1:8" ht="12.75">
      <c r="A46" s="234"/>
      <c r="B46" s="57" t="s">
        <v>2209</v>
      </c>
      <c r="C46" s="27" t="s">
        <v>2189</v>
      </c>
      <c r="D46" s="207"/>
      <c r="E46" s="28"/>
      <c r="F46" s="27" t="s">
        <v>2295</v>
      </c>
    </row>
    <row r="48" spans="1:8" ht="16.5">
      <c r="A48" s="225" t="s">
        <v>2260</v>
      </c>
      <c r="B48" s="203" t="s">
        <v>2276</v>
      </c>
      <c r="C48" s="69"/>
      <c r="D48" s="69"/>
      <c r="E48" s="69"/>
      <c r="F48" s="69"/>
    </row>
    <row r="49" spans="1:6" ht="12.75">
      <c r="A49" s="69"/>
      <c r="B49" s="69"/>
      <c r="C49" s="69"/>
      <c r="D49" s="69"/>
      <c r="E49" s="69"/>
      <c r="F49" s="69"/>
    </row>
    <row r="50" spans="1:6" ht="12.75">
      <c r="A50" s="69"/>
      <c r="B50" s="69"/>
      <c r="C50" s="69"/>
      <c r="D50" s="69"/>
      <c r="E50" s="69"/>
      <c r="F50" s="69"/>
    </row>
    <row r="51" spans="1:6">
      <c r="A51" s="204" t="s">
        <v>2184</v>
      </c>
      <c r="B51" s="205" t="s">
        <v>2185</v>
      </c>
      <c r="C51" s="206" t="s">
        <v>2186</v>
      </c>
      <c r="D51" s="206" t="s">
        <v>2187</v>
      </c>
      <c r="E51" s="206" t="s">
        <v>2188</v>
      </c>
      <c r="F51" s="206" t="s">
        <v>1741</v>
      </c>
    </row>
    <row r="52" spans="1:6" ht="12.75">
      <c r="A52" s="277" t="s">
        <v>2048</v>
      </c>
      <c r="B52" s="57" t="s">
        <v>2045</v>
      </c>
      <c r="C52" s="27" t="s">
        <v>2189</v>
      </c>
      <c r="D52" s="207"/>
      <c r="E52" s="57"/>
      <c r="F52" s="27" t="s">
        <v>2259</v>
      </c>
    </row>
    <row r="53" spans="1:6" ht="12.75">
      <c r="A53" s="235"/>
      <c r="B53" s="41" t="s">
        <v>2046</v>
      </c>
      <c r="C53" s="27" t="s">
        <v>2189</v>
      </c>
      <c r="D53" s="208"/>
      <c r="E53" s="25"/>
      <c r="F53" s="27" t="s">
        <v>2259</v>
      </c>
    </row>
    <row r="54" spans="1:6" ht="12.75">
      <c r="A54" s="235"/>
      <c r="B54" s="41" t="s">
        <v>2193</v>
      </c>
      <c r="C54" s="27" t="s">
        <v>2189</v>
      </c>
      <c r="D54" s="208"/>
      <c r="E54" s="25"/>
      <c r="F54" s="27" t="s">
        <v>2259</v>
      </c>
    </row>
    <row r="55" spans="1:6" ht="38.25">
      <c r="A55" s="235"/>
      <c r="B55" s="41" t="s">
        <v>2195</v>
      </c>
      <c r="C55" s="27" t="s">
        <v>2192</v>
      </c>
      <c r="D55" s="229" t="s">
        <v>2296</v>
      </c>
      <c r="E55" s="25" t="s">
        <v>2297</v>
      </c>
      <c r="F55" s="30" t="s">
        <v>2298</v>
      </c>
    </row>
    <row r="56" spans="1:6" ht="12.75">
      <c r="A56" s="235"/>
      <c r="B56" s="41" t="s">
        <v>2196</v>
      </c>
      <c r="C56" s="27" t="s">
        <v>2189</v>
      </c>
      <c r="D56" s="208"/>
      <c r="E56" s="25"/>
      <c r="F56" s="27" t="s">
        <v>2259</v>
      </c>
    </row>
    <row r="57" spans="1:6" ht="12.75">
      <c r="A57" s="234"/>
      <c r="B57" s="41" t="s">
        <v>2198</v>
      </c>
      <c r="C57" s="27" t="s">
        <v>2189</v>
      </c>
      <c r="D57" s="208"/>
      <c r="E57" s="25"/>
      <c r="F57" s="27" t="s">
        <v>2259</v>
      </c>
    </row>
    <row r="58" spans="1:6" ht="12.75">
      <c r="A58" s="277" t="s">
        <v>1558</v>
      </c>
      <c r="B58" s="41" t="s">
        <v>2262</v>
      </c>
      <c r="C58" s="27" t="s">
        <v>2189</v>
      </c>
      <c r="D58" s="208"/>
      <c r="E58" s="25"/>
      <c r="F58" s="27" t="s">
        <v>2256</v>
      </c>
    </row>
    <row r="59" spans="1:6" ht="12.75">
      <c r="A59" s="235"/>
      <c r="B59" s="41" t="s">
        <v>2205</v>
      </c>
      <c r="C59" s="27" t="s">
        <v>2194</v>
      </c>
      <c r="D59" s="208"/>
      <c r="E59" s="25" t="s">
        <v>1566</v>
      </c>
      <c r="F59" s="27" t="s">
        <v>2289</v>
      </c>
    </row>
    <row r="60" spans="1:6" ht="25.5">
      <c r="A60" s="234"/>
      <c r="B60" s="41" t="s">
        <v>2209</v>
      </c>
      <c r="C60" s="27" t="s">
        <v>2194</v>
      </c>
      <c r="D60" s="207"/>
      <c r="E60" s="25" t="s">
        <v>2299</v>
      </c>
      <c r="F60" s="27" t="s">
        <v>2289</v>
      </c>
    </row>
    <row r="61" spans="1:6" ht="12.75">
      <c r="A61" s="277" t="s">
        <v>2218</v>
      </c>
      <c r="B61" s="57" t="s">
        <v>2264</v>
      </c>
      <c r="C61" s="27" t="s">
        <v>2194</v>
      </c>
      <c r="D61" s="207"/>
      <c r="E61" s="28"/>
      <c r="F61" s="27"/>
    </row>
    <row r="62" spans="1:6" ht="25.5">
      <c r="A62" s="235"/>
      <c r="B62" s="57" t="s">
        <v>2205</v>
      </c>
      <c r="C62" s="27" t="s">
        <v>2191</v>
      </c>
      <c r="D62" s="207"/>
      <c r="E62" s="25" t="s">
        <v>2300</v>
      </c>
      <c r="F62" s="27" t="s">
        <v>2258</v>
      </c>
    </row>
    <row r="63" spans="1:6" ht="12.75">
      <c r="A63" s="235"/>
      <c r="B63" s="57" t="s">
        <v>2207</v>
      </c>
      <c r="C63" s="27" t="s">
        <v>2189</v>
      </c>
      <c r="D63" s="228" t="s">
        <v>2301</v>
      </c>
      <c r="E63" s="25"/>
      <c r="F63" s="27" t="s">
        <v>2270</v>
      </c>
    </row>
    <row r="64" spans="1:6" ht="51">
      <c r="A64" s="235"/>
      <c r="B64" s="57" t="s">
        <v>2209</v>
      </c>
      <c r="C64" s="27" t="s">
        <v>2191</v>
      </c>
      <c r="D64" s="223"/>
      <c r="E64" s="25" t="s">
        <v>2302</v>
      </c>
      <c r="F64" s="27" t="s">
        <v>2258</v>
      </c>
    </row>
    <row r="65" spans="1:6" ht="12.75">
      <c r="A65" s="235"/>
      <c r="B65" s="57" t="s">
        <v>2266</v>
      </c>
      <c r="C65" s="27" t="s">
        <v>2189</v>
      </c>
      <c r="D65" s="223"/>
      <c r="E65" s="57"/>
      <c r="F65" s="27" t="s">
        <v>2245</v>
      </c>
    </row>
    <row r="66" spans="1:6" ht="25.5">
      <c r="A66" s="235"/>
      <c r="B66" s="57" t="s">
        <v>2205</v>
      </c>
      <c r="C66" s="27" t="s">
        <v>2191</v>
      </c>
      <c r="D66" s="207"/>
      <c r="E66" s="25" t="s">
        <v>2303</v>
      </c>
      <c r="F66" s="27" t="s">
        <v>2245</v>
      </c>
    </row>
    <row r="67" spans="1:6" ht="12.75">
      <c r="A67" s="235"/>
      <c r="B67" s="57" t="s">
        <v>2207</v>
      </c>
      <c r="C67" s="27" t="s">
        <v>2189</v>
      </c>
      <c r="D67" s="207"/>
      <c r="E67" s="28"/>
      <c r="F67" s="27" t="s">
        <v>2258</v>
      </c>
    </row>
    <row r="68" spans="1:6" ht="12.75">
      <c r="A68" s="235"/>
      <c r="B68" s="57" t="s">
        <v>2209</v>
      </c>
      <c r="C68" s="27" t="s">
        <v>2189</v>
      </c>
      <c r="D68" s="208"/>
      <c r="E68" s="57"/>
      <c r="F68" s="27" t="s">
        <v>2258</v>
      </c>
    </row>
    <row r="69" spans="1:6" ht="12.75">
      <c r="A69" s="234"/>
      <c r="B69" s="57" t="s">
        <v>2304</v>
      </c>
      <c r="C69" s="27" t="s">
        <v>2194</v>
      </c>
      <c r="D69" s="207"/>
      <c r="E69" s="57"/>
      <c r="F69" s="27"/>
    </row>
    <row r="70" spans="1:6" ht="12.75">
      <c r="A70" s="277" t="s">
        <v>2268</v>
      </c>
      <c r="B70" s="57" t="s">
        <v>2269</v>
      </c>
      <c r="C70" s="27" t="s">
        <v>2189</v>
      </c>
      <c r="D70" s="207"/>
      <c r="E70" s="57"/>
      <c r="F70" s="27" t="s">
        <v>2275</v>
      </c>
    </row>
    <row r="71" spans="1:6" ht="12.75">
      <c r="A71" s="235"/>
      <c r="B71" s="57" t="s">
        <v>2205</v>
      </c>
      <c r="C71" s="27" t="s">
        <v>2189</v>
      </c>
      <c r="D71" s="207"/>
      <c r="E71" s="57"/>
      <c r="F71" s="27" t="s">
        <v>2275</v>
      </c>
    </row>
    <row r="72" spans="1:6" ht="12.75">
      <c r="A72" s="235"/>
      <c r="B72" s="57" t="s">
        <v>2207</v>
      </c>
      <c r="C72" s="27" t="s">
        <v>2189</v>
      </c>
      <c r="D72" s="207"/>
      <c r="E72" s="57"/>
      <c r="F72" s="27" t="s">
        <v>2275</v>
      </c>
    </row>
    <row r="73" spans="1:6" ht="12.75">
      <c r="A73" s="234"/>
      <c r="B73" s="57" t="s">
        <v>2209</v>
      </c>
      <c r="C73" s="27" t="s">
        <v>2189</v>
      </c>
      <c r="D73" s="207"/>
      <c r="E73" s="57"/>
      <c r="F73" s="27" t="s">
        <v>2275</v>
      </c>
    </row>
    <row r="74" spans="1:6" ht="12.75">
      <c r="A74" s="280" t="s">
        <v>2271</v>
      </c>
      <c r="B74" s="57" t="s">
        <v>2271</v>
      </c>
      <c r="C74" s="27" t="s">
        <v>2189</v>
      </c>
      <c r="D74" s="207"/>
      <c r="E74" s="57"/>
      <c r="F74" s="27" t="s">
        <v>2305</v>
      </c>
    </row>
    <row r="75" spans="1:6" ht="12.75">
      <c r="A75" s="235"/>
      <c r="B75" s="57" t="s">
        <v>2205</v>
      </c>
      <c r="C75" s="27" t="s">
        <v>2189</v>
      </c>
      <c r="D75" s="207"/>
      <c r="E75" s="57"/>
      <c r="F75" s="27" t="s">
        <v>2305</v>
      </c>
    </row>
    <row r="76" spans="1:6" ht="12.75">
      <c r="A76" s="235"/>
      <c r="B76" s="57" t="s">
        <v>2207</v>
      </c>
      <c r="C76" s="27" t="s">
        <v>2189</v>
      </c>
      <c r="D76" s="207"/>
      <c r="E76" s="57"/>
      <c r="F76" s="27" t="s">
        <v>2305</v>
      </c>
    </row>
    <row r="77" spans="1:6" ht="12.75">
      <c r="A77" s="234"/>
      <c r="B77" s="57" t="s">
        <v>2209</v>
      </c>
      <c r="C77" s="27" t="s">
        <v>2189</v>
      </c>
      <c r="D77" s="207"/>
      <c r="E77" s="57"/>
      <c r="F77" s="27" t="s">
        <v>2305</v>
      </c>
    </row>
    <row r="78" spans="1:6" ht="12.75">
      <c r="A78" s="227" t="s">
        <v>2274</v>
      </c>
      <c r="B78" s="57" t="s">
        <v>2229</v>
      </c>
      <c r="C78" s="27" t="s">
        <v>2189</v>
      </c>
      <c r="D78" s="207"/>
      <c r="E78" s="28"/>
      <c r="F78" s="27" t="s">
        <v>2267</v>
      </c>
    </row>
  </sheetData>
  <mergeCells count="12">
    <mergeCell ref="A35:A42"/>
    <mergeCell ref="A43:A46"/>
    <mergeCell ref="A5:A10"/>
    <mergeCell ref="A11:A16"/>
    <mergeCell ref="A17:A22"/>
    <mergeCell ref="A23:A30"/>
    <mergeCell ref="A31:A34"/>
    <mergeCell ref="A52:A57"/>
    <mergeCell ref="A58:A60"/>
    <mergeCell ref="A61:A69"/>
    <mergeCell ref="A70:A73"/>
    <mergeCell ref="A74:A77"/>
  </mergeCells>
  <dataValidations count="1">
    <dataValidation type="list" allowBlank="1" showErrorMessage="1" sqref="C5:C46 C52:C78" xr:uid="{00000000-0002-0000-1E00-000000000000}">
      <formula1>"Failed,N/A,Passed,Invalid"</formula1>
    </dataValidation>
  </dataValidations>
  <hyperlinks>
    <hyperlink ref="D11" r:id="rId1" xr:uid="{00000000-0004-0000-1E00-000000000000}"/>
    <hyperlink ref="D34" r:id="rId2" xr:uid="{00000000-0004-0000-1E00-000001000000}"/>
    <hyperlink ref="D41" r:id="rId3" xr:uid="{00000000-0004-0000-1E00-000002000000}"/>
    <hyperlink ref="D55" r:id="rId4" xr:uid="{00000000-0004-0000-1E00-000003000000}"/>
    <hyperlink ref="D63" r:id="rId5" xr:uid="{00000000-0004-0000-1E00-00000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K47"/>
  <sheetViews>
    <sheetView workbookViewId="0"/>
  </sheetViews>
  <sheetFormatPr defaultColWidth="12.5703125" defaultRowHeight="15.75" customHeight="1"/>
  <cols>
    <col min="1" max="1" width="41.140625" customWidth="1"/>
    <col min="2" max="2" width="26.5703125" customWidth="1"/>
    <col min="3" max="3" width="22.42578125" customWidth="1"/>
    <col min="4" max="4" width="25.28515625" customWidth="1"/>
    <col min="5" max="5" width="39" customWidth="1"/>
    <col min="6" max="7" width="25.28515625" customWidth="1"/>
  </cols>
  <sheetData>
    <row r="1" spans="1:11" ht="15.75" customHeight="1">
      <c r="A1" s="202" t="s">
        <v>2182</v>
      </c>
      <c r="B1" s="203" t="s">
        <v>2306</v>
      </c>
      <c r="C1" s="69"/>
      <c r="D1" s="69"/>
      <c r="E1" s="69"/>
      <c r="F1" s="69"/>
      <c r="G1" s="69"/>
    </row>
    <row r="2" spans="1:11">
      <c r="A2" s="69"/>
      <c r="B2" s="69"/>
      <c r="C2" s="69"/>
      <c r="D2" s="69"/>
      <c r="E2" s="69"/>
      <c r="F2" s="69"/>
      <c r="G2" s="69"/>
    </row>
    <row r="3" spans="1:11">
      <c r="A3" s="69"/>
      <c r="B3" s="69"/>
      <c r="C3" s="69"/>
      <c r="D3" s="69"/>
      <c r="E3" s="69"/>
      <c r="F3" s="69"/>
      <c r="G3" s="69"/>
    </row>
    <row r="4" spans="1:11" ht="15.75" customHeight="1">
      <c r="A4" s="204" t="s">
        <v>2184</v>
      </c>
      <c r="B4" s="205" t="s">
        <v>2185</v>
      </c>
      <c r="C4" s="206" t="s">
        <v>2186</v>
      </c>
      <c r="D4" s="206" t="s">
        <v>2187</v>
      </c>
      <c r="E4" s="206" t="s">
        <v>2188</v>
      </c>
      <c r="F4" s="206" t="s">
        <v>1741</v>
      </c>
      <c r="H4" s="69" t="s">
        <v>2189</v>
      </c>
      <c r="I4" s="69"/>
      <c r="J4" s="69"/>
      <c r="K4" s="69"/>
    </row>
    <row r="5" spans="1:11">
      <c r="A5" s="277" t="s">
        <v>2047</v>
      </c>
      <c r="B5" s="57" t="s">
        <v>2045</v>
      </c>
      <c r="C5" s="27" t="s">
        <v>2189</v>
      </c>
      <c r="D5" s="207"/>
      <c r="E5" s="57"/>
      <c r="F5" s="27" t="s">
        <v>2277</v>
      </c>
      <c r="H5" s="69" t="s">
        <v>2191</v>
      </c>
      <c r="I5" s="69"/>
      <c r="J5" s="69"/>
      <c r="K5" s="69"/>
    </row>
    <row r="6" spans="1:11">
      <c r="A6" s="235"/>
      <c r="B6" s="41" t="s">
        <v>2046</v>
      </c>
      <c r="C6" s="27" t="s">
        <v>2189</v>
      </c>
      <c r="D6" s="208"/>
      <c r="E6" s="25"/>
      <c r="F6" s="27" t="s">
        <v>2277</v>
      </c>
      <c r="H6" s="69" t="s">
        <v>2192</v>
      </c>
      <c r="I6" s="69"/>
      <c r="J6" s="209"/>
      <c r="K6" s="209"/>
    </row>
    <row r="7" spans="1:11">
      <c r="A7" s="235"/>
      <c r="B7" s="41" t="s">
        <v>2193</v>
      </c>
      <c r="C7" s="27" t="s">
        <v>2189</v>
      </c>
      <c r="D7" s="208"/>
      <c r="E7" s="25"/>
      <c r="F7" s="27" t="s">
        <v>2277</v>
      </c>
      <c r="H7" s="69" t="s">
        <v>2194</v>
      </c>
      <c r="I7" s="69"/>
      <c r="J7" s="209"/>
      <c r="K7" s="209"/>
    </row>
    <row r="8" spans="1:11">
      <c r="A8" s="235"/>
      <c r="B8" s="41" t="s">
        <v>2195</v>
      </c>
      <c r="C8" s="27" t="s">
        <v>2189</v>
      </c>
      <c r="D8" s="208"/>
      <c r="E8" s="25"/>
      <c r="F8" s="27" t="s">
        <v>2277</v>
      </c>
      <c r="H8" s="69"/>
      <c r="I8" s="69"/>
      <c r="J8" s="209"/>
      <c r="K8" s="209"/>
    </row>
    <row r="9" spans="1:11" ht="15.75" customHeight="1">
      <c r="A9" s="235"/>
      <c r="B9" s="41" t="s">
        <v>2196</v>
      </c>
      <c r="C9" s="27" t="s">
        <v>2189</v>
      </c>
      <c r="D9" s="208"/>
      <c r="E9" s="25"/>
      <c r="F9" s="27" t="s">
        <v>2277</v>
      </c>
      <c r="H9" s="249" t="s">
        <v>2197</v>
      </c>
      <c r="I9" s="237"/>
      <c r="J9" s="237"/>
      <c r="K9" s="238"/>
    </row>
    <row r="10" spans="1:11" ht="15.75" customHeight="1">
      <c r="A10" s="234"/>
      <c r="B10" s="41" t="s">
        <v>2198</v>
      </c>
      <c r="C10" s="27" t="s">
        <v>2189</v>
      </c>
      <c r="D10" s="208"/>
      <c r="E10" s="25"/>
      <c r="F10" s="27" t="s">
        <v>2277</v>
      </c>
      <c r="H10" s="4"/>
      <c r="I10" s="5" t="s">
        <v>2</v>
      </c>
      <c r="J10" s="5" t="s">
        <v>3</v>
      </c>
      <c r="K10" s="210" t="s">
        <v>4</v>
      </c>
    </row>
    <row r="11" spans="1:11">
      <c r="A11" s="277" t="s">
        <v>1558</v>
      </c>
      <c r="B11" s="41" t="s">
        <v>2199</v>
      </c>
      <c r="C11" s="27" t="s">
        <v>2191</v>
      </c>
      <c r="D11" s="228" t="s">
        <v>2307</v>
      </c>
      <c r="E11" s="25" t="s">
        <v>2308</v>
      </c>
      <c r="F11" s="27" t="s">
        <v>2309</v>
      </c>
      <c r="H11" s="211" t="s">
        <v>8</v>
      </c>
      <c r="I11" s="212">
        <f>COUNTIF(C5:C47,H4)</f>
        <v>33</v>
      </c>
      <c r="J11" s="213">
        <f>IFERROR((I11/I15),0)</f>
        <v>0.76744186046511631</v>
      </c>
      <c r="K11" s="250">
        <f>(IFERROR((I11/I15),0))</f>
        <v>0.76744186046511631</v>
      </c>
    </row>
    <row r="12" spans="1:11">
      <c r="A12" s="235"/>
      <c r="B12" s="41" t="s">
        <v>2201</v>
      </c>
      <c r="C12" s="27" t="s">
        <v>2189</v>
      </c>
      <c r="D12" s="207"/>
      <c r="E12" s="28"/>
      <c r="F12" s="27" t="s">
        <v>2309</v>
      </c>
      <c r="H12" s="211" t="s">
        <v>9</v>
      </c>
      <c r="I12" s="212">
        <f>COUNTIF(C5:C47,H5)</f>
        <v>9</v>
      </c>
      <c r="J12" s="213">
        <f>IFERROR((I12/I15),0)</f>
        <v>0.20930232558139536</v>
      </c>
      <c r="K12" s="235"/>
    </row>
    <row r="13" spans="1:11">
      <c r="A13" s="235"/>
      <c r="B13" s="41" t="s">
        <v>2202</v>
      </c>
      <c r="C13" s="27" t="s">
        <v>2191</v>
      </c>
      <c r="D13" s="207"/>
      <c r="E13" s="28"/>
      <c r="F13" s="27" t="s">
        <v>2275</v>
      </c>
      <c r="H13" s="211" t="s">
        <v>2204</v>
      </c>
      <c r="I13" s="212">
        <f>COUNTIF(C5:C47,H6)</f>
        <v>0</v>
      </c>
      <c r="J13" s="213">
        <f>IFERROR((I13/I15),0)</f>
        <v>0</v>
      </c>
      <c r="K13" s="235"/>
    </row>
    <row r="14" spans="1:11">
      <c r="A14" s="235"/>
      <c r="B14" s="41" t="s">
        <v>2205</v>
      </c>
      <c r="C14" s="27" t="s">
        <v>2191</v>
      </c>
      <c r="D14" s="207"/>
      <c r="E14" s="28"/>
      <c r="F14" s="27" t="s">
        <v>2275</v>
      </c>
      <c r="H14" s="211" t="s">
        <v>2206</v>
      </c>
      <c r="I14" s="212">
        <f>COUNTIF(C5:C47,H7)</f>
        <v>1</v>
      </c>
      <c r="J14" s="213">
        <f>IFERROR((I14/I15),0)</f>
        <v>2.3255813953488372E-2</v>
      </c>
      <c r="K14" s="235"/>
    </row>
    <row r="15" spans="1:11">
      <c r="A15" s="235"/>
      <c r="B15" s="41" t="s">
        <v>2207</v>
      </c>
      <c r="C15" s="27" t="s">
        <v>2194</v>
      </c>
      <c r="D15" s="207"/>
      <c r="E15" s="57" t="s">
        <v>2310</v>
      </c>
      <c r="F15" s="27" t="s">
        <v>2263</v>
      </c>
      <c r="H15" s="214" t="s">
        <v>10</v>
      </c>
      <c r="I15" s="214">
        <f>SUM(I11:I14)</f>
        <v>43</v>
      </c>
      <c r="J15" s="214">
        <f>IFERROR((I15/#REF!)*100,0)</f>
        <v>0</v>
      </c>
      <c r="K15" s="234"/>
    </row>
    <row r="16" spans="1:11">
      <c r="A16" s="234"/>
      <c r="B16" s="41" t="s">
        <v>2209</v>
      </c>
      <c r="C16" s="27" t="s">
        <v>2191</v>
      </c>
      <c r="D16" s="207"/>
      <c r="E16" s="25" t="s">
        <v>2311</v>
      </c>
      <c r="F16" s="27" t="s">
        <v>2263</v>
      </c>
    </row>
    <row r="17" spans="1:6">
      <c r="A17" s="277" t="s">
        <v>2210</v>
      </c>
      <c r="B17" s="57" t="s">
        <v>2211</v>
      </c>
      <c r="C17" s="27" t="s">
        <v>2189</v>
      </c>
      <c r="D17" s="207"/>
      <c r="E17" s="28"/>
      <c r="F17" s="27" t="s">
        <v>2258</v>
      </c>
    </row>
    <row r="18" spans="1:6">
      <c r="A18" s="235"/>
      <c r="B18" s="57" t="s">
        <v>2214</v>
      </c>
      <c r="C18" s="27" t="s">
        <v>2189</v>
      </c>
      <c r="D18" s="207"/>
      <c r="E18" s="28"/>
      <c r="F18" s="27" t="s">
        <v>2267</v>
      </c>
    </row>
    <row r="19" spans="1:6">
      <c r="A19" s="235"/>
      <c r="B19" s="57" t="s">
        <v>2205</v>
      </c>
      <c r="C19" s="27" t="s">
        <v>2189</v>
      </c>
      <c r="D19" s="207"/>
      <c r="E19" s="28"/>
      <c r="F19" s="27" t="s">
        <v>2258</v>
      </c>
    </row>
    <row r="20" spans="1:6">
      <c r="A20" s="235"/>
      <c r="B20" s="57" t="s">
        <v>2207</v>
      </c>
      <c r="C20" s="27" t="s">
        <v>2189</v>
      </c>
      <c r="D20" s="207"/>
      <c r="E20" s="28"/>
      <c r="F20" s="27" t="s">
        <v>2258</v>
      </c>
    </row>
    <row r="21" spans="1:6">
      <c r="A21" s="235"/>
      <c r="B21" s="57" t="s">
        <v>2209</v>
      </c>
      <c r="C21" s="27" t="s">
        <v>2191</v>
      </c>
      <c r="D21" s="207"/>
      <c r="E21" s="57" t="s">
        <v>2312</v>
      </c>
      <c r="F21" s="27" t="s">
        <v>2258</v>
      </c>
    </row>
    <row r="22" spans="1:6">
      <c r="A22" s="234"/>
      <c r="B22" s="57" t="s">
        <v>2217</v>
      </c>
      <c r="C22" s="27" t="s">
        <v>2189</v>
      </c>
      <c r="D22" s="207"/>
      <c r="E22" s="28"/>
      <c r="F22" s="27" t="s">
        <v>2258</v>
      </c>
    </row>
    <row r="23" spans="1:6">
      <c r="A23" s="277" t="s">
        <v>2218</v>
      </c>
      <c r="B23" s="57" t="s">
        <v>2219</v>
      </c>
      <c r="C23" s="27" t="s">
        <v>2189</v>
      </c>
      <c r="D23" s="207"/>
      <c r="E23" s="28"/>
      <c r="F23" s="27" t="s">
        <v>2249</v>
      </c>
    </row>
    <row r="24" spans="1:6">
      <c r="A24" s="235"/>
      <c r="B24" s="57" t="s">
        <v>2205</v>
      </c>
      <c r="C24" s="27" t="s">
        <v>2189</v>
      </c>
      <c r="D24" s="207"/>
      <c r="E24" s="28"/>
      <c r="F24" s="27" t="s">
        <v>2249</v>
      </c>
    </row>
    <row r="25" spans="1:6">
      <c r="A25" s="235"/>
      <c r="B25" s="57" t="s">
        <v>2207</v>
      </c>
      <c r="C25" s="27" t="s">
        <v>2189</v>
      </c>
      <c r="D25" s="207"/>
      <c r="E25" s="28"/>
      <c r="F25" s="27" t="s">
        <v>2249</v>
      </c>
    </row>
    <row r="26" spans="1:6">
      <c r="A26" s="235"/>
      <c r="B26" s="57" t="s">
        <v>2253</v>
      </c>
      <c r="C26" s="27" t="s">
        <v>2191</v>
      </c>
      <c r="D26" s="207"/>
      <c r="E26" s="57"/>
      <c r="F26" s="27" t="s">
        <v>2256</v>
      </c>
    </row>
    <row r="27" spans="1:6">
      <c r="A27" s="235"/>
      <c r="B27" s="57" t="s">
        <v>2205</v>
      </c>
      <c r="C27" s="27" t="s">
        <v>2189</v>
      </c>
      <c r="D27" s="207"/>
      <c r="E27" s="28"/>
      <c r="F27" s="27" t="s">
        <v>2249</v>
      </c>
    </row>
    <row r="28" spans="1:6">
      <c r="A28" s="235"/>
      <c r="B28" s="57" t="s">
        <v>2207</v>
      </c>
      <c r="C28" s="27" t="s">
        <v>2189</v>
      </c>
      <c r="D28" s="207"/>
      <c r="E28" s="28"/>
      <c r="F28" s="27" t="s">
        <v>2249</v>
      </c>
    </row>
    <row r="29" spans="1:6">
      <c r="A29" s="235"/>
      <c r="B29" s="57" t="s">
        <v>2209</v>
      </c>
      <c r="C29" s="27" t="s">
        <v>2189</v>
      </c>
      <c r="D29" s="208"/>
      <c r="E29" s="57"/>
      <c r="F29" s="27" t="s">
        <v>2256</v>
      </c>
    </row>
    <row r="30" spans="1:6">
      <c r="A30" s="235"/>
      <c r="B30" s="57" t="s">
        <v>2313</v>
      </c>
      <c r="C30" s="27" t="s">
        <v>2191</v>
      </c>
      <c r="D30" s="207"/>
      <c r="E30" s="57" t="s">
        <v>2314</v>
      </c>
      <c r="F30" s="27" t="s">
        <v>2288</v>
      </c>
    </row>
    <row r="31" spans="1:6">
      <c r="A31" s="234"/>
      <c r="B31" s="57" t="s">
        <v>2287</v>
      </c>
      <c r="C31" s="27" t="s">
        <v>2189</v>
      </c>
      <c r="D31" s="207"/>
      <c r="E31" s="28"/>
      <c r="F31" s="27" t="s">
        <v>2288</v>
      </c>
    </row>
    <row r="32" spans="1:6">
      <c r="A32" s="277" t="s">
        <v>2223</v>
      </c>
      <c r="B32" s="57" t="s">
        <v>2224</v>
      </c>
      <c r="C32" s="27" t="s">
        <v>2191</v>
      </c>
      <c r="D32" s="207"/>
      <c r="E32" s="42" t="s">
        <v>2315</v>
      </c>
      <c r="F32" s="27" t="s">
        <v>2316</v>
      </c>
    </row>
    <row r="33" spans="1:6">
      <c r="A33" s="235"/>
      <c r="B33" s="57" t="s">
        <v>2205</v>
      </c>
      <c r="C33" s="27" t="s">
        <v>2189</v>
      </c>
      <c r="D33" s="207"/>
      <c r="E33" s="28"/>
      <c r="F33" s="27" t="s">
        <v>2317</v>
      </c>
    </row>
    <row r="34" spans="1:6">
      <c r="A34" s="235"/>
      <c r="B34" s="57" t="s">
        <v>2207</v>
      </c>
      <c r="C34" s="27" t="s">
        <v>2189</v>
      </c>
      <c r="D34" s="207"/>
      <c r="E34" s="28"/>
      <c r="F34" s="27" t="s">
        <v>2317</v>
      </c>
    </row>
    <row r="35" spans="1:6">
      <c r="A35" s="234"/>
      <c r="B35" s="57" t="s">
        <v>2209</v>
      </c>
      <c r="C35" s="27" t="s">
        <v>2189</v>
      </c>
      <c r="D35" s="228" t="s">
        <v>2290</v>
      </c>
      <c r="E35" s="57"/>
      <c r="F35" s="27" t="s">
        <v>2316</v>
      </c>
    </row>
    <row r="36" spans="1:6">
      <c r="A36" s="277" t="s">
        <v>2225</v>
      </c>
      <c r="B36" s="57" t="s">
        <v>2226</v>
      </c>
      <c r="C36" s="27" t="s">
        <v>2189</v>
      </c>
      <c r="D36" s="207"/>
      <c r="E36" s="28"/>
      <c r="F36" s="27" t="s">
        <v>2270</v>
      </c>
    </row>
    <row r="37" spans="1:6">
      <c r="A37" s="235"/>
      <c r="B37" s="57" t="s">
        <v>2227</v>
      </c>
      <c r="C37" s="27" t="s">
        <v>2189</v>
      </c>
      <c r="D37" s="207"/>
      <c r="E37" s="28"/>
      <c r="F37" s="27" t="s">
        <v>2270</v>
      </c>
    </row>
    <row r="38" spans="1:6" ht="12.75">
      <c r="A38" s="235"/>
      <c r="B38" s="57" t="s">
        <v>2205</v>
      </c>
      <c r="C38" s="27" t="s">
        <v>2189</v>
      </c>
      <c r="D38" s="207"/>
      <c r="E38" s="28"/>
      <c r="F38" s="27" t="s">
        <v>2270</v>
      </c>
    </row>
    <row r="39" spans="1:6" ht="12.75">
      <c r="A39" s="235"/>
      <c r="B39" s="57" t="s">
        <v>2207</v>
      </c>
      <c r="C39" s="27" t="s">
        <v>2189</v>
      </c>
      <c r="D39" s="207"/>
      <c r="E39" s="28"/>
      <c r="F39" s="27" t="s">
        <v>2291</v>
      </c>
    </row>
    <row r="40" spans="1:6" ht="12.75">
      <c r="A40" s="235"/>
      <c r="B40" s="57" t="s">
        <v>2209</v>
      </c>
      <c r="C40" s="27" t="s">
        <v>2189</v>
      </c>
      <c r="D40" s="207"/>
      <c r="E40" s="28"/>
      <c r="F40" s="27" t="s">
        <v>2291</v>
      </c>
    </row>
    <row r="41" spans="1:6" ht="12.75">
      <c r="A41" s="235"/>
      <c r="B41" s="57" t="s">
        <v>2229</v>
      </c>
      <c r="C41" s="27" t="s">
        <v>2189</v>
      </c>
      <c r="D41" s="207"/>
      <c r="E41" s="28"/>
      <c r="F41" s="27" t="s">
        <v>2259</v>
      </c>
    </row>
    <row r="42" spans="1:6" ht="25.5">
      <c r="A42" s="235"/>
      <c r="B42" s="57" t="s">
        <v>2230</v>
      </c>
      <c r="C42" s="27" t="s">
        <v>2191</v>
      </c>
      <c r="D42" s="207"/>
      <c r="E42" s="23" t="s">
        <v>2293</v>
      </c>
      <c r="F42" s="27" t="s">
        <v>2259</v>
      </c>
    </row>
    <row r="43" spans="1:6" ht="12.75">
      <c r="A43" s="234"/>
      <c r="B43" s="57" t="s">
        <v>2231</v>
      </c>
      <c r="C43" s="27" t="s">
        <v>2189</v>
      </c>
      <c r="D43" s="207"/>
      <c r="E43" s="28"/>
      <c r="F43" s="27" t="s">
        <v>2259</v>
      </c>
    </row>
    <row r="44" spans="1:6" ht="12.75">
      <c r="A44" s="277" t="s">
        <v>2232</v>
      </c>
      <c r="B44" s="57" t="s">
        <v>2224</v>
      </c>
      <c r="C44" s="27" t="s">
        <v>2189</v>
      </c>
      <c r="D44" s="207"/>
      <c r="E44" s="25"/>
      <c r="F44" s="27" t="s">
        <v>2295</v>
      </c>
    </row>
    <row r="45" spans="1:6" ht="12.75">
      <c r="A45" s="235"/>
      <c r="B45" s="57" t="s">
        <v>2205</v>
      </c>
      <c r="C45" s="27" t="s">
        <v>2189</v>
      </c>
      <c r="D45" s="207"/>
      <c r="E45" s="28"/>
      <c r="F45" s="27" t="s">
        <v>2265</v>
      </c>
    </row>
    <row r="46" spans="1:6" ht="12.75">
      <c r="A46" s="235"/>
      <c r="B46" s="57" t="s">
        <v>2207</v>
      </c>
      <c r="C46" s="27" t="s">
        <v>2189</v>
      </c>
      <c r="D46" s="207"/>
      <c r="E46" s="28"/>
      <c r="F46" s="27" t="s">
        <v>2294</v>
      </c>
    </row>
    <row r="47" spans="1:6" ht="12.75">
      <c r="A47" s="234"/>
      <c r="B47" s="57" t="s">
        <v>2209</v>
      </c>
      <c r="C47" s="27" t="s">
        <v>2189</v>
      </c>
      <c r="D47" s="207"/>
      <c r="E47" s="28"/>
      <c r="F47" s="27" t="s">
        <v>2294</v>
      </c>
    </row>
  </sheetData>
  <mergeCells count="9">
    <mergeCell ref="A36:A43"/>
    <mergeCell ref="A44:A47"/>
    <mergeCell ref="A5:A10"/>
    <mergeCell ref="H9:K9"/>
    <mergeCell ref="A11:A16"/>
    <mergeCell ref="K11:K15"/>
    <mergeCell ref="A17:A22"/>
    <mergeCell ref="A23:A31"/>
    <mergeCell ref="A32:A35"/>
  </mergeCells>
  <dataValidations count="1">
    <dataValidation type="list" allowBlank="1" showErrorMessage="1" sqref="C5:C47" xr:uid="{00000000-0002-0000-1F00-000000000000}">
      <formula1>"Failed,N/A,Passed"</formula1>
    </dataValidation>
  </dataValidations>
  <hyperlinks>
    <hyperlink ref="D11" r:id="rId1" xr:uid="{00000000-0004-0000-1F00-000000000000}"/>
    <hyperlink ref="D35" r:id="rId2" xr:uid="{00000000-0004-0000-1F00-000001000000}"/>
  </hyperlinks>
  <pageMargins left="0.7" right="0.7" top="0.75" bottom="0.75" header="0.3" footer="0.3"/>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Y118"/>
  <sheetViews>
    <sheetView workbookViewId="0"/>
  </sheetViews>
  <sheetFormatPr defaultColWidth="12.5703125" defaultRowHeight="15.75" customHeight="1"/>
  <cols>
    <col min="1" max="1" width="46.5703125" customWidth="1"/>
    <col min="2" max="2" width="53.5703125" customWidth="1"/>
    <col min="3" max="3" width="69.5703125" customWidth="1"/>
    <col min="4" max="4" width="44.5703125" customWidth="1"/>
    <col min="5" max="5" width="47.85546875" customWidth="1"/>
    <col min="6" max="6" width="25.42578125" customWidth="1"/>
    <col min="7" max="7" width="25.28515625" customWidth="1"/>
  </cols>
  <sheetData>
    <row r="1" spans="1:7" ht="14.25">
      <c r="A1" s="240" t="s">
        <v>0</v>
      </c>
      <c r="B1" s="237"/>
      <c r="C1" s="237"/>
      <c r="D1" s="238"/>
    </row>
    <row r="2" spans="1:7" ht="15">
      <c r="A2" s="1"/>
      <c r="B2" s="2" t="s">
        <v>2</v>
      </c>
      <c r="C2" s="2" t="s">
        <v>3</v>
      </c>
      <c r="D2" s="3" t="s">
        <v>4</v>
      </c>
    </row>
    <row r="3" spans="1:7" ht="15">
      <c r="A3" s="7" t="s">
        <v>5</v>
      </c>
      <c r="B3" s="8">
        <f>COUNTIF(F$11:F278, "NOT YET STARTED")</f>
        <v>0</v>
      </c>
      <c r="C3" s="9">
        <f t="shared" ref="C3:C6" si="0">IFERROR(B3/COUNTIF(B$11:B277, ""), 0)</f>
        <v>0</v>
      </c>
      <c r="D3" s="241">
        <f>IFERROR(B5/COUNTIF(B$11:B265, ""), 0)</f>
        <v>0</v>
      </c>
    </row>
    <row r="4" spans="1:7" ht="15">
      <c r="A4" s="7" t="s">
        <v>7</v>
      </c>
      <c r="B4" s="8">
        <f>COUNTIF(F$11:F279, "IN PROGRESS")</f>
        <v>3</v>
      </c>
      <c r="C4" s="9">
        <f t="shared" si="0"/>
        <v>1.7964071856287425E-2</v>
      </c>
      <c r="D4" s="242"/>
    </row>
    <row r="5" spans="1:7" ht="15">
      <c r="A5" s="7" t="s">
        <v>8</v>
      </c>
      <c r="B5" s="8">
        <f>COUNTIF(F$11:F280, "PASSED")</f>
        <v>0</v>
      </c>
      <c r="C5" s="9">
        <f t="shared" si="0"/>
        <v>0</v>
      </c>
      <c r="D5" s="242"/>
    </row>
    <row r="6" spans="1:7" ht="15">
      <c r="A6" s="7" t="s">
        <v>9</v>
      </c>
      <c r="B6" s="8">
        <f>COUNTIF(F$11:F281, "FAILED")</f>
        <v>0</v>
      </c>
      <c r="C6" s="9">
        <f t="shared" si="0"/>
        <v>0</v>
      </c>
      <c r="D6" s="242"/>
    </row>
    <row r="7" spans="1:7" ht="19.5">
      <c r="A7" s="14" t="s">
        <v>10</v>
      </c>
      <c r="B7" s="14">
        <f>SUM(B3:B6)</f>
        <v>3</v>
      </c>
      <c r="C7" s="14">
        <f>IFERROR((B7/#REF!)*100,0)</f>
        <v>0</v>
      </c>
      <c r="D7" s="243"/>
    </row>
    <row r="9" spans="1:7" ht="16.5" customHeight="1">
      <c r="A9" s="18" t="s">
        <v>11</v>
      </c>
      <c r="B9" s="18" t="s">
        <v>12</v>
      </c>
      <c r="C9" s="18" t="s">
        <v>13</v>
      </c>
      <c r="D9" s="19" t="s">
        <v>14</v>
      </c>
      <c r="E9" s="18" t="s">
        <v>15</v>
      </c>
      <c r="F9" s="21" t="s">
        <v>16</v>
      </c>
      <c r="G9" s="21" t="s">
        <v>17</v>
      </c>
    </row>
    <row r="10" spans="1:7" ht="12.75">
      <c r="A10" s="236" t="s">
        <v>18</v>
      </c>
      <c r="B10" s="237"/>
      <c r="C10" s="237"/>
      <c r="D10" s="237"/>
      <c r="E10" s="237"/>
      <c r="F10" s="237"/>
      <c r="G10" s="238"/>
    </row>
    <row r="11" spans="1:7" ht="25.5">
      <c r="A11" s="252" t="s">
        <v>19</v>
      </c>
      <c r="B11" s="25" t="s">
        <v>20</v>
      </c>
      <c r="C11" s="253" t="s">
        <v>21</v>
      </c>
      <c r="D11" s="57" t="s">
        <v>22</v>
      </c>
      <c r="E11" s="30" t="s">
        <v>23</v>
      </c>
      <c r="F11" s="27" t="s">
        <v>2318</v>
      </c>
      <c r="G11" s="28"/>
    </row>
    <row r="12" spans="1:7" ht="12.75">
      <c r="A12" s="235"/>
      <c r="B12" s="57" t="s">
        <v>25</v>
      </c>
      <c r="C12" s="235"/>
      <c r="D12" s="57" t="s">
        <v>26</v>
      </c>
      <c r="E12" s="58" t="s">
        <v>27</v>
      </c>
      <c r="F12" s="27" t="s">
        <v>2318</v>
      </c>
      <c r="G12" s="28"/>
    </row>
    <row r="13" spans="1:7" ht="12.75">
      <c r="A13" s="235"/>
      <c r="B13" s="57" t="s">
        <v>28</v>
      </c>
      <c r="C13" s="235"/>
      <c r="D13" s="57" t="s">
        <v>29</v>
      </c>
      <c r="E13" s="58"/>
      <c r="F13" s="27"/>
      <c r="G13" s="28"/>
    </row>
    <row r="14" spans="1:7" ht="12.75">
      <c r="A14" s="235"/>
      <c r="B14" s="57" t="s">
        <v>31</v>
      </c>
      <c r="C14" s="235"/>
      <c r="D14" s="57" t="s">
        <v>32</v>
      </c>
      <c r="E14" s="58" t="s">
        <v>33</v>
      </c>
      <c r="F14" s="27" t="s">
        <v>2318</v>
      </c>
      <c r="G14" s="28"/>
    </row>
    <row r="15" spans="1:7" ht="12.75">
      <c r="A15" s="234"/>
      <c r="B15" s="57" t="s">
        <v>34</v>
      </c>
      <c r="C15" s="234"/>
      <c r="D15" s="57" t="s">
        <v>35</v>
      </c>
      <c r="E15" s="58" t="s">
        <v>36</v>
      </c>
      <c r="F15" s="27"/>
      <c r="G15" s="28"/>
    </row>
    <row r="16" spans="1:7" ht="12.75">
      <c r="A16" s="236" t="s">
        <v>788</v>
      </c>
      <c r="B16" s="237"/>
      <c r="C16" s="237"/>
      <c r="D16" s="237"/>
      <c r="E16" s="237"/>
      <c r="F16" s="237"/>
      <c r="G16" s="238"/>
    </row>
    <row r="17" spans="1:7" ht="63.75">
      <c r="A17" s="29" t="s">
        <v>37</v>
      </c>
      <c r="B17" s="26" t="s">
        <v>38</v>
      </c>
      <c r="C17" s="27" t="s">
        <v>39</v>
      </c>
      <c r="D17" s="26" t="s">
        <v>40</v>
      </c>
      <c r="E17" s="30" t="s">
        <v>41</v>
      </c>
      <c r="F17" s="27"/>
      <c r="G17" s="28"/>
    </row>
    <row r="18" spans="1:7" ht="63.75">
      <c r="A18" s="245" t="s">
        <v>43</v>
      </c>
      <c r="B18" s="26" t="s">
        <v>44</v>
      </c>
      <c r="C18" s="254" t="s">
        <v>45</v>
      </c>
      <c r="D18" s="26" t="s">
        <v>46</v>
      </c>
      <c r="E18" s="30" t="s">
        <v>47</v>
      </c>
      <c r="F18" s="27"/>
      <c r="G18" s="28"/>
    </row>
    <row r="19" spans="1:7" ht="63.75">
      <c r="A19" s="234"/>
      <c r="B19" s="26" t="s">
        <v>48</v>
      </c>
      <c r="C19" s="234"/>
      <c r="D19" s="26" t="s">
        <v>49</v>
      </c>
      <c r="E19" s="30" t="s">
        <v>50</v>
      </c>
      <c r="F19" s="27"/>
      <c r="G19" s="28"/>
    </row>
    <row r="20" spans="1:7" ht="63.75">
      <c r="A20" s="245" t="s">
        <v>71</v>
      </c>
      <c r="B20" s="26" t="s">
        <v>72</v>
      </c>
      <c r="C20" s="254" t="s">
        <v>73</v>
      </c>
      <c r="D20" s="26" t="s">
        <v>74</v>
      </c>
      <c r="E20" s="23" t="s">
        <v>75</v>
      </c>
      <c r="F20" s="27"/>
      <c r="G20" s="28"/>
    </row>
    <row r="21" spans="1:7" ht="63.75">
      <c r="A21" s="235"/>
      <c r="B21" s="23" t="s">
        <v>789</v>
      </c>
      <c r="C21" s="235"/>
      <c r="D21" s="23" t="s">
        <v>790</v>
      </c>
      <c r="E21" s="30" t="s">
        <v>791</v>
      </c>
      <c r="F21" s="27"/>
      <c r="G21" s="28"/>
    </row>
    <row r="22" spans="1:7" ht="63.75">
      <c r="A22" s="234"/>
      <c r="B22" s="23" t="s">
        <v>76</v>
      </c>
      <c r="C22" s="234"/>
      <c r="D22" s="23" t="s">
        <v>77</v>
      </c>
      <c r="E22" s="30" t="s">
        <v>78</v>
      </c>
      <c r="F22" s="27"/>
      <c r="G22" s="28"/>
    </row>
    <row r="23" spans="1:7" ht="12.75">
      <c r="A23" s="236" t="s">
        <v>792</v>
      </c>
      <c r="B23" s="237"/>
      <c r="C23" s="237"/>
      <c r="D23" s="237"/>
      <c r="E23" s="237"/>
      <c r="F23" s="237"/>
      <c r="G23" s="238"/>
    </row>
    <row r="24" spans="1:7" ht="25.5">
      <c r="A24" s="252" t="s">
        <v>793</v>
      </c>
      <c r="B24" s="57" t="s">
        <v>794</v>
      </c>
      <c r="C24" s="239" t="s">
        <v>795</v>
      </c>
      <c r="D24" s="57" t="s">
        <v>796</v>
      </c>
      <c r="E24" s="25" t="s">
        <v>797</v>
      </c>
      <c r="F24" s="27"/>
      <c r="G24" s="28"/>
    </row>
    <row r="25" spans="1:7" ht="25.5">
      <c r="A25" s="235"/>
      <c r="B25" s="25" t="s">
        <v>798</v>
      </c>
      <c r="C25" s="235"/>
      <c r="D25" s="57" t="s">
        <v>799</v>
      </c>
      <c r="E25" s="25" t="s">
        <v>800</v>
      </c>
      <c r="F25" s="27"/>
      <c r="G25" s="28"/>
    </row>
    <row r="26" spans="1:7" ht="25.5">
      <c r="A26" s="235"/>
      <c r="B26" s="25" t="s">
        <v>801</v>
      </c>
      <c r="C26" s="235"/>
      <c r="D26" s="57" t="s">
        <v>802</v>
      </c>
      <c r="E26" s="25" t="s">
        <v>803</v>
      </c>
      <c r="F26" s="27"/>
      <c r="G26" s="25"/>
    </row>
    <row r="27" spans="1:7" ht="25.5">
      <c r="A27" s="235"/>
      <c r="B27" s="57" t="s">
        <v>804</v>
      </c>
      <c r="C27" s="235"/>
      <c r="D27" s="57" t="s">
        <v>805</v>
      </c>
      <c r="E27" s="25" t="s">
        <v>806</v>
      </c>
      <c r="F27" s="27"/>
      <c r="G27" s="28"/>
    </row>
    <row r="28" spans="1:7" ht="25.5">
      <c r="A28" s="235"/>
      <c r="B28" s="25" t="s">
        <v>807</v>
      </c>
      <c r="C28" s="235"/>
      <c r="D28" s="57" t="s">
        <v>808</v>
      </c>
      <c r="E28" s="25" t="s">
        <v>809</v>
      </c>
      <c r="F28" s="27"/>
      <c r="G28" s="28"/>
    </row>
    <row r="29" spans="1:7" ht="25.5">
      <c r="A29" s="235"/>
      <c r="B29" s="25" t="s">
        <v>810</v>
      </c>
      <c r="C29" s="235"/>
      <c r="D29" s="57" t="s">
        <v>811</v>
      </c>
      <c r="E29" s="25" t="s">
        <v>812</v>
      </c>
      <c r="F29" s="27"/>
      <c r="G29" s="28"/>
    </row>
    <row r="30" spans="1:7" ht="12.75">
      <c r="A30" s="235"/>
      <c r="B30" s="57" t="s">
        <v>813</v>
      </c>
      <c r="C30" s="235"/>
      <c r="D30" s="57" t="s">
        <v>814</v>
      </c>
      <c r="E30" s="25" t="s">
        <v>815</v>
      </c>
      <c r="F30" s="27"/>
      <c r="G30" s="28"/>
    </row>
    <row r="31" spans="1:7" ht="25.5">
      <c r="A31" s="235"/>
      <c r="B31" s="25" t="s">
        <v>816</v>
      </c>
      <c r="C31" s="235"/>
      <c r="D31" s="57" t="s">
        <v>817</v>
      </c>
      <c r="E31" s="25" t="s">
        <v>818</v>
      </c>
      <c r="F31" s="27"/>
      <c r="G31" s="28"/>
    </row>
    <row r="32" spans="1:7" ht="25.5">
      <c r="A32" s="235"/>
      <c r="B32" s="25" t="s">
        <v>819</v>
      </c>
      <c r="C32" s="235"/>
      <c r="D32" s="57" t="s">
        <v>820</v>
      </c>
      <c r="E32" s="25" t="s">
        <v>821</v>
      </c>
      <c r="F32" s="27"/>
      <c r="G32" s="28"/>
    </row>
    <row r="33" spans="1:7" ht="25.5">
      <c r="A33" s="235"/>
      <c r="B33" s="57" t="s">
        <v>822</v>
      </c>
      <c r="C33" s="235"/>
      <c r="D33" s="57" t="s">
        <v>823</v>
      </c>
      <c r="E33" s="25" t="s">
        <v>824</v>
      </c>
      <c r="F33" s="27"/>
      <c r="G33" s="28"/>
    </row>
    <row r="34" spans="1:7" ht="51">
      <c r="A34" s="234"/>
      <c r="B34" s="25" t="s">
        <v>825</v>
      </c>
      <c r="C34" s="234"/>
      <c r="D34" s="25" t="s">
        <v>826</v>
      </c>
      <c r="E34" s="25" t="s">
        <v>827</v>
      </c>
      <c r="F34" s="27"/>
      <c r="G34" s="28"/>
    </row>
    <row r="35" spans="1:7" ht="12.75">
      <c r="A35" s="252" t="s">
        <v>828</v>
      </c>
      <c r="B35" s="57" t="s">
        <v>829</v>
      </c>
      <c r="C35" s="239" t="s">
        <v>795</v>
      </c>
      <c r="D35" s="57" t="s">
        <v>830</v>
      </c>
      <c r="E35" s="25" t="s">
        <v>831</v>
      </c>
      <c r="F35" s="27"/>
      <c r="G35" s="28"/>
    </row>
    <row r="36" spans="1:7" ht="25.5">
      <c r="A36" s="235"/>
      <c r="B36" s="25" t="s">
        <v>832</v>
      </c>
      <c r="C36" s="235"/>
      <c r="D36" s="57" t="s">
        <v>833</v>
      </c>
      <c r="E36" s="25" t="s">
        <v>834</v>
      </c>
      <c r="F36" s="27"/>
      <c r="G36" s="28"/>
    </row>
    <row r="37" spans="1:7" ht="12.75">
      <c r="A37" s="235"/>
      <c r="B37" s="57" t="s">
        <v>835</v>
      </c>
      <c r="C37" s="235"/>
      <c r="D37" s="57" t="s">
        <v>836</v>
      </c>
      <c r="E37" s="25" t="s">
        <v>821</v>
      </c>
      <c r="F37" s="27"/>
      <c r="G37" s="28"/>
    </row>
    <row r="38" spans="1:7" ht="51">
      <c r="A38" s="235"/>
      <c r="B38" s="25" t="s">
        <v>837</v>
      </c>
      <c r="C38" s="235"/>
      <c r="D38" s="25" t="s">
        <v>838</v>
      </c>
      <c r="E38" s="25" t="s">
        <v>839</v>
      </c>
      <c r="F38" s="27"/>
      <c r="G38" s="28"/>
    </row>
    <row r="39" spans="1:7" ht="12.75">
      <c r="A39" s="234"/>
      <c r="B39" s="57" t="s">
        <v>840</v>
      </c>
      <c r="C39" s="234"/>
      <c r="D39" s="57" t="s">
        <v>841</v>
      </c>
      <c r="E39" s="25" t="s">
        <v>842</v>
      </c>
      <c r="F39" s="27"/>
      <c r="G39" s="28"/>
    </row>
    <row r="40" spans="1:7" ht="25.5">
      <c r="A40" s="256" t="s">
        <v>843</v>
      </c>
      <c r="B40" s="25" t="s">
        <v>844</v>
      </c>
      <c r="C40" s="255" t="s">
        <v>845</v>
      </c>
      <c r="D40" s="63" t="s">
        <v>846</v>
      </c>
      <c r="E40" s="63" t="s">
        <v>847</v>
      </c>
      <c r="F40" s="27"/>
      <c r="G40" s="64"/>
    </row>
    <row r="41" spans="1:7" ht="38.25">
      <c r="A41" s="234"/>
      <c r="B41" s="25" t="s">
        <v>848</v>
      </c>
      <c r="C41" s="234"/>
      <c r="D41" s="63" t="s">
        <v>849</v>
      </c>
      <c r="E41" s="63" t="s">
        <v>850</v>
      </c>
      <c r="F41" s="27"/>
      <c r="G41" s="64"/>
    </row>
    <row r="42" spans="1:7" ht="25.5">
      <c r="A42" s="256" t="s">
        <v>851</v>
      </c>
      <c r="B42" s="25" t="s">
        <v>852</v>
      </c>
      <c r="C42" s="255" t="s">
        <v>845</v>
      </c>
      <c r="D42" s="63" t="s">
        <v>853</v>
      </c>
      <c r="E42" s="63" t="s">
        <v>854</v>
      </c>
      <c r="F42" s="27"/>
      <c r="G42" s="64"/>
    </row>
    <row r="43" spans="1:7" ht="25.5">
      <c r="A43" s="235"/>
      <c r="B43" s="25" t="s">
        <v>855</v>
      </c>
      <c r="C43" s="235"/>
      <c r="D43" s="63" t="s">
        <v>856</v>
      </c>
      <c r="E43" s="63" t="s">
        <v>857</v>
      </c>
      <c r="F43" s="27"/>
      <c r="G43" s="64"/>
    </row>
    <row r="44" spans="1:7" ht="38.25">
      <c r="A44" s="234"/>
      <c r="B44" s="25" t="s">
        <v>858</v>
      </c>
      <c r="C44" s="234"/>
      <c r="D44" s="63" t="s">
        <v>859</v>
      </c>
      <c r="E44" s="63" t="s">
        <v>860</v>
      </c>
      <c r="F44" s="27"/>
      <c r="G44" s="64"/>
    </row>
    <row r="45" spans="1:7" ht="38.25">
      <c r="A45" s="256" t="s">
        <v>861</v>
      </c>
      <c r="B45" s="25" t="s">
        <v>862</v>
      </c>
      <c r="C45" s="255" t="s">
        <v>845</v>
      </c>
      <c r="D45" s="63" t="s">
        <v>863</v>
      </c>
      <c r="E45" s="63" t="s">
        <v>864</v>
      </c>
      <c r="F45" s="27"/>
      <c r="G45" s="64"/>
    </row>
    <row r="46" spans="1:7" ht="25.5">
      <c r="A46" s="235"/>
      <c r="B46" s="25" t="s">
        <v>575</v>
      </c>
      <c r="C46" s="235"/>
      <c r="D46" s="63" t="s">
        <v>865</v>
      </c>
      <c r="E46" s="63" t="s">
        <v>866</v>
      </c>
      <c r="F46" s="27"/>
      <c r="G46" s="64"/>
    </row>
    <row r="47" spans="1:7" ht="38.25">
      <c r="A47" s="235"/>
      <c r="B47" s="25" t="s">
        <v>867</v>
      </c>
      <c r="C47" s="235"/>
      <c r="D47" s="63" t="s">
        <v>868</v>
      </c>
      <c r="E47" s="63" t="s">
        <v>869</v>
      </c>
      <c r="F47" s="27"/>
      <c r="G47" s="64"/>
    </row>
    <row r="48" spans="1:7" ht="25.5">
      <c r="A48" s="235"/>
      <c r="B48" s="25" t="s">
        <v>870</v>
      </c>
      <c r="C48" s="235"/>
      <c r="D48" s="63" t="s">
        <v>871</v>
      </c>
      <c r="E48" s="63" t="s">
        <v>872</v>
      </c>
      <c r="F48" s="27"/>
      <c r="G48" s="64"/>
    </row>
    <row r="49" spans="1:7" ht="63.75">
      <c r="A49" s="234"/>
      <c r="B49" s="25" t="s">
        <v>593</v>
      </c>
      <c r="C49" s="234"/>
      <c r="D49" s="63" t="s">
        <v>873</v>
      </c>
      <c r="E49" s="63" t="s">
        <v>874</v>
      </c>
      <c r="F49" s="27"/>
      <c r="G49" s="64"/>
    </row>
    <row r="50" spans="1:7" ht="25.5">
      <c r="A50" s="256" t="s">
        <v>875</v>
      </c>
      <c r="B50" s="25" t="s">
        <v>876</v>
      </c>
      <c r="C50" s="255" t="s">
        <v>845</v>
      </c>
      <c r="D50" s="63" t="s">
        <v>877</v>
      </c>
      <c r="E50" s="63" t="s">
        <v>878</v>
      </c>
      <c r="F50" s="27"/>
      <c r="G50" s="64"/>
    </row>
    <row r="51" spans="1:7" ht="25.5">
      <c r="A51" s="235"/>
      <c r="B51" s="25" t="s">
        <v>879</v>
      </c>
      <c r="C51" s="235"/>
      <c r="D51" s="63" t="s">
        <v>880</v>
      </c>
      <c r="E51" s="63" t="s">
        <v>881</v>
      </c>
      <c r="F51" s="27"/>
      <c r="G51" s="64"/>
    </row>
    <row r="52" spans="1:7" ht="25.5">
      <c r="A52" s="235"/>
      <c r="B52" s="25" t="s">
        <v>882</v>
      </c>
      <c r="C52" s="234"/>
      <c r="D52" s="63" t="s">
        <v>883</v>
      </c>
      <c r="E52" s="63" t="s">
        <v>884</v>
      </c>
      <c r="F52" s="27"/>
      <c r="G52" s="64"/>
    </row>
    <row r="53" spans="1:7" ht="51">
      <c r="A53" s="235"/>
      <c r="B53" s="25" t="s">
        <v>885</v>
      </c>
      <c r="C53" s="255" t="s">
        <v>886</v>
      </c>
      <c r="D53" s="63" t="s">
        <v>887</v>
      </c>
      <c r="E53" s="63" t="s">
        <v>888</v>
      </c>
      <c r="F53" s="27"/>
      <c r="G53" s="65"/>
    </row>
    <row r="54" spans="1:7" ht="51">
      <c r="A54" s="235"/>
      <c r="B54" s="25" t="s">
        <v>889</v>
      </c>
      <c r="C54" s="235"/>
      <c r="D54" s="63" t="s">
        <v>890</v>
      </c>
      <c r="E54" s="63" t="s">
        <v>891</v>
      </c>
      <c r="F54" s="27"/>
      <c r="G54" s="64"/>
    </row>
    <row r="55" spans="1:7" ht="51">
      <c r="A55" s="235"/>
      <c r="B55" s="25" t="s">
        <v>892</v>
      </c>
      <c r="C55" s="235"/>
      <c r="D55" s="63" t="s">
        <v>893</v>
      </c>
      <c r="E55" s="63" t="s">
        <v>894</v>
      </c>
      <c r="F55" s="27"/>
      <c r="G55" s="64"/>
    </row>
    <row r="56" spans="1:7" ht="51">
      <c r="A56" s="235"/>
      <c r="B56" s="25" t="s">
        <v>895</v>
      </c>
      <c r="C56" s="235"/>
      <c r="D56" s="63" t="s">
        <v>896</v>
      </c>
      <c r="E56" s="63" t="s">
        <v>897</v>
      </c>
      <c r="F56" s="27"/>
      <c r="G56" s="64"/>
    </row>
    <row r="57" spans="1:7" ht="51">
      <c r="A57" s="235"/>
      <c r="B57" s="25" t="s">
        <v>898</v>
      </c>
      <c r="C57" s="235"/>
      <c r="D57" s="63" t="s">
        <v>899</v>
      </c>
      <c r="E57" s="63" t="s">
        <v>900</v>
      </c>
      <c r="F57" s="27"/>
      <c r="G57" s="64"/>
    </row>
    <row r="58" spans="1:7" ht="51">
      <c r="A58" s="235"/>
      <c r="B58" s="25" t="s">
        <v>901</v>
      </c>
      <c r="C58" s="235"/>
      <c r="D58" s="63" t="s">
        <v>902</v>
      </c>
      <c r="E58" s="63" t="s">
        <v>903</v>
      </c>
      <c r="F58" s="27"/>
      <c r="G58" s="64"/>
    </row>
    <row r="59" spans="1:7" ht="51">
      <c r="A59" s="235"/>
      <c r="B59" s="25" t="s">
        <v>904</v>
      </c>
      <c r="C59" s="235"/>
      <c r="D59" s="63" t="s">
        <v>905</v>
      </c>
      <c r="E59" s="63" t="s">
        <v>906</v>
      </c>
      <c r="F59" s="27"/>
      <c r="G59" s="64"/>
    </row>
    <row r="60" spans="1:7" ht="38.25">
      <c r="A60" s="235"/>
      <c r="B60" s="25" t="s">
        <v>907</v>
      </c>
      <c r="C60" s="235"/>
      <c r="D60" s="63" t="s">
        <v>908</v>
      </c>
      <c r="E60" s="63" t="s">
        <v>909</v>
      </c>
      <c r="F60" s="27"/>
      <c r="G60" s="64"/>
    </row>
    <row r="61" spans="1:7" ht="38.25">
      <c r="A61" s="235"/>
      <c r="B61" s="25" t="s">
        <v>910</v>
      </c>
      <c r="C61" s="235"/>
      <c r="D61" s="63" t="s">
        <v>911</v>
      </c>
      <c r="E61" s="63" t="s">
        <v>912</v>
      </c>
      <c r="F61" s="27"/>
      <c r="G61" s="64"/>
    </row>
    <row r="62" spans="1:7" ht="38.25">
      <c r="A62" s="235"/>
      <c r="B62" s="25" t="s">
        <v>913</v>
      </c>
      <c r="C62" s="235"/>
      <c r="D62" s="63" t="s">
        <v>914</v>
      </c>
      <c r="E62" s="63" t="s">
        <v>915</v>
      </c>
      <c r="F62" s="27"/>
      <c r="G62" s="64"/>
    </row>
    <row r="63" spans="1:7" ht="38.25">
      <c r="A63" s="235"/>
      <c r="B63" s="25" t="s">
        <v>916</v>
      </c>
      <c r="C63" s="234"/>
      <c r="D63" s="63" t="s">
        <v>917</v>
      </c>
      <c r="E63" s="63" t="s">
        <v>918</v>
      </c>
      <c r="F63" s="27"/>
      <c r="G63" s="64"/>
    </row>
    <row r="64" spans="1:7" ht="51">
      <c r="A64" s="235"/>
      <c r="B64" s="25" t="s">
        <v>919</v>
      </c>
      <c r="C64" s="255" t="s">
        <v>845</v>
      </c>
      <c r="D64" s="63" t="s">
        <v>920</v>
      </c>
      <c r="E64" s="63" t="s">
        <v>921</v>
      </c>
      <c r="F64" s="27"/>
      <c r="G64" s="64"/>
    </row>
    <row r="65" spans="1:25" ht="51">
      <c r="A65" s="235"/>
      <c r="B65" s="25" t="s">
        <v>922</v>
      </c>
      <c r="C65" s="235"/>
      <c r="D65" s="63" t="s">
        <v>923</v>
      </c>
      <c r="E65" s="63" t="s">
        <v>924</v>
      </c>
      <c r="F65" s="27"/>
      <c r="G65" s="64"/>
    </row>
    <row r="66" spans="1:25" ht="38.25">
      <c r="A66" s="235"/>
      <c r="B66" s="25" t="s">
        <v>925</v>
      </c>
      <c r="C66" s="235"/>
      <c r="D66" s="63" t="s">
        <v>926</v>
      </c>
      <c r="E66" s="25" t="s">
        <v>821</v>
      </c>
      <c r="F66" s="27"/>
      <c r="G66" s="64"/>
    </row>
    <row r="67" spans="1:25" ht="63.75">
      <c r="A67" s="234"/>
      <c r="B67" s="25" t="s">
        <v>927</v>
      </c>
      <c r="C67" s="234"/>
      <c r="D67" s="63" t="s">
        <v>928</v>
      </c>
      <c r="E67" s="63" t="s">
        <v>827</v>
      </c>
      <c r="F67" s="27"/>
      <c r="G67" s="64"/>
    </row>
    <row r="68" spans="1:25" ht="12.75">
      <c r="A68" s="236" t="s">
        <v>929</v>
      </c>
      <c r="B68" s="237"/>
      <c r="C68" s="237"/>
      <c r="D68" s="237"/>
      <c r="E68" s="237"/>
      <c r="F68" s="237"/>
      <c r="G68" s="238"/>
    </row>
    <row r="69" spans="1:25" ht="38.25">
      <c r="A69" s="37" t="s">
        <v>930</v>
      </c>
      <c r="B69" s="23" t="s">
        <v>2234</v>
      </c>
      <c r="C69" s="23" t="s">
        <v>931</v>
      </c>
      <c r="D69" s="23" t="s">
        <v>932</v>
      </c>
      <c r="E69" s="23" t="s">
        <v>933</v>
      </c>
      <c r="F69" s="30"/>
      <c r="G69" s="34"/>
    </row>
    <row r="70" spans="1:25" ht="63.75">
      <c r="A70" s="59" t="s">
        <v>2235</v>
      </c>
      <c r="B70" s="23" t="s">
        <v>934</v>
      </c>
      <c r="C70" s="23" t="s">
        <v>931</v>
      </c>
      <c r="D70" s="23" t="s">
        <v>935</v>
      </c>
      <c r="E70" s="23" t="s">
        <v>936</v>
      </c>
      <c r="F70" s="30"/>
      <c r="G70" s="34"/>
    </row>
    <row r="71" spans="1:25" ht="51">
      <c r="A71" s="37" t="s">
        <v>2236</v>
      </c>
      <c r="B71" s="23" t="s">
        <v>2237</v>
      </c>
      <c r="C71" s="23" t="s">
        <v>931</v>
      </c>
      <c r="D71" s="23" t="s">
        <v>2238</v>
      </c>
      <c r="E71" s="23" t="s">
        <v>937</v>
      </c>
      <c r="F71" s="30"/>
      <c r="G71" s="34"/>
    </row>
    <row r="72" spans="1:25" ht="63.75">
      <c r="A72" s="59" t="s">
        <v>2239</v>
      </c>
      <c r="B72" s="23" t="s">
        <v>938</v>
      </c>
      <c r="C72" s="23" t="s">
        <v>931</v>
      </c>
      <c r="D72" s="23" t="s">
        <v>939</v>
      </c>
      <c r="E72" s="23" t="s">
        <v>940</v>
      </c>
      <c r="F72" s="30"/>
      <c r="G72" s="34"/>
    </row>
    <row r="73" spans="1:25" ht="38.25">
      <c r="A73" s="252" t="s">
        <v>941</v>
      </c>
      <c r="B73" s="23" t="s">
        <v>942</v>
      </c>
      <c r="C73" s="24" t="s">
        <v>943</v>
      </c>
      <c r="D73" s="23" t="s">
        <v>944</v>
      </c>
      <c r="E73" s="23" t="s">
        <v>945</v>
      </c>
      <c r="F73" s="30"/>
      <c r="G73" s="34"/>
    </row>
    <row r="74" spans="1:25" ht="38.25">
      <c r="A74" s="235"/>
      <c r="B74" s="66" t="s">
        <v>946</v>
      </c>
      <c r="C74" s="257" t="s">
        <v>947</v>
      </c>
      <c r="D74" s="67" t="s">
        <v>948</v>
      </c>
      <c r="E74" s="68" t="s">
        <v>949</v>
      </c>
      <c r="F74" s="68"/>
      <c r="G74" s="57"/>
      <c r="H74" s="69"/>
      <c r="I74" s="69"/>
      <c r="J74" s="69"/>
      <c r="K74" s="69"/>
      <c r="L74" s="69"/>
      <c r="M74" s="69"/>
      <c r="N74" s="69"/>
      <c r="O74" s="69"/>
      <c r="P74" s="69"/>
      <c r="Q74" s="69"/>
      <c r="R74" s="69"/>
      <c r="S74" s="69"/>
      <c r="T74" s="69"/>
      <c r="U74" s="69"/>
      <c r="V74" s="69"/>
      <c r="W74" s="69"/>
      <c r="X74" s="69"/>
      <c r="Y74" s="69"/>
    </row>
    <row r="75" spans="1:25" ht="25.5">
      <c r="A75" s="234"/>
      <c r="B75" s="45" t="s">
        <v>950</v>
      </c>
      <c r="C75" s="235"/>
      <c r="D75" s="23" t="s">
        <v>951</v>
      </c>
      <c r="E75" s="23" t="s">
        <v>952</v>
      </c>
      <c r="F75" s="30"/>
      <c r="G75" s="34"/>
    </row>
    <row r="76" spans="1:25" ht="63.75">
      <c r="A76" s="252" t="s">
        <v>953</v>
      </c>
      <c r="B76" s="57" t="s">
        <v>954</v>
      </c>
      <c r="C76" s="70" t="s">
        <v>955</v>
      </c>
      <c r="D76" s="57" t="s">
        <v>956</v>
      </c>
      <c r="E76" s="25" t="s">
        <v>957</v>
      </c>
      <c r="F76" s="27"/>
      <c r="G76" s="28"/>
    </row>
    <row r="77" spans="1:25" ht="38.25">
      <c r="A77" s="235"/>
      <c r="B77" s="57" t="s">
        <v>958</v>
      </c>
      <c r="C77" s="258" t="s">
        <v>959</v>
      </c>
      <c r="D77" s="57" t="s">
        <v>960</v>
      </c>
      <c r="E77" s="25" t="s">
        <v>961</v>
      </c>
      <c r="F77" s="27"/>
      <c r="G77" s="28"/>
    </row>
    <row r="78" spans="1:25" ht="12.75">
      <c r="A78" s="235"/>
      <c r="B78" s="57" t="s">
        <v>962</v>
      </c>
      <c r="C78" s="235"/>
      <c r="D78" s="57" t="s">
        <v>963</v>
      </c>
      <c r="E78" s="57" t="s">
        <v>964</v>
      </c>
      <c r="F78" s="27"/>
      <c r="G78" s="57"/>
    </row>
    <row r="79" spans="1:25" ht="63.75">
      <c r="A79" s="234"/>
      <c r="B79" s="57" t="s">
        <v>965</v>
      </c>
      <c r="C79" s="25" t="s">
        <v>966</v>
      </c>
      <c r="D79" s="57" t="s">
        <v>967</v>
      </c>
      <c r="E79" s="25" t="s">
        <v>961</v>
      </c>
      <c r="F79" s="27"/>
      <c r="G79" s="28"/>
    </row>
    <row r="80" spans="1:25" ht="38.25">
      <c r="A80" s="71" t="s">
        <v>968</v>
      </c>
      <c r="B80" s="72" t="s">
        <v>969</v>
      </c>
      <c r="C80" s="72" t="s">
        <v>931</v>
      </c>
      <c r="D80" s="65" t="s">
        <v>970</v>
      </c>
      <c r="E80" s="72" t="s">
        <v>971</v>
      </c>
      <c r="F80" s="27"/>
      <c r="G80" s="64"/>
      <c r="H80" s="39"/>
      <c r="I80" s="39"/>
      <c r="J80" s="39"/>
      <c r="K80" s="39"/>
      <c r="L80" s="39"/>
      <c r="M80" s="39"/>
      <c r="N80" s="39"/>
      <c r="O80" s="39"/>
      <c r="P80" s="39"/>
      <c r="Q80" s="39"/>
      <c r="R80" s="39"/>
      <c r="S80" s="39"/>
      <c r="T80" s="39"/>
      <c r="U80" s="39"/>
      <c r="V80" s="39"/>
      <c r="W80" s="39"/>
      <c r="X80" s="39"/>
      <c r="Y80" s="39"/>
    </row>
    <row r="81" spans="1:25">
      <c r="A81" s="71"/>
      <c r="B81" s="72"/>
      <c r="C81" s="72"/>
      <c r="D81" s="65"/>
      <c r="E81" s="72"/>
      <c r="F81" s="27"/>
      <c r="G81" s="64"/>
      <c r="H81" s="39"/>
      <c r="I81" s="39"/>
      <c r="J81" s="39"/>
      <c r="K81" s="39"/>
      <c r="L81" s="39"/>
      <c r="M81" s="39"/>
      <c r="N81" s="39"/>
      <c r="O81" s="39"/>
      <c r="P81" s="39"/>
      <c r="Q81" s="39"/>
      <c r="R81" s="39"/>
      <c r="S81" s="39"/>
      <c r="T81" s="39"/>
      <c r="U81" s="39"/>
      <c r="V81" s="39"/>
      <c r="W81" s="39"/>
      <c r="X81" s="39"/>
      <c r="Y81" s="39"/>
    </row>
    <row r="82" spans="1:25" ht="12.75">
      <c r="A82" s="236" t="s">
        <v>972</v>
      </c>
      <c r="B82" s="237"/>
      <c r="C82" s="237"/>
      <c r="D82" s="237"/>
      <c r="E82" s="237"/>
      <c r="F82" s="237"/>
      <c r="G82" s="238"/>
      <c r="H82" s="39"/>
      <c r="I82" s="39"/>
      <c r="J82" s="39"/>
      <c r="K82" s="39"/>
      <c r="L82" s="39"/>
      <c r="M82" s="39"/>
      <c r="N82" s="39"/>
      <c r="O82" s="39"/>
      <c r="P82" s="39"/>
      <c r="Q82" s="39"/>
      <c r="R82" s="39"/>
      <c r="S82" s="39"/>
      <c r="T82" s="39"/>
      <c r="U82" s="39"/>
      <c r="V82" s="39"/>
      <c r="W82" s="39"/>
      <c r="X82" s="39"/>
      <c r="Y82" s="39"/>
    </row>
    <row r="83" spans="1:25" ht="54" customHeight="1">
      <c r="A83" s="233" t="s">
        <v>973</v>
      </c>
      <c r="B83" s="23" t="s">
        <v>974</v>
      </c>
      <c r="C83" s="23" t="s">
        <v>975</v>
      </c>
      <c r="D83" s="23" t="s">
        <v>976</v>
      </c>
      <c r="E83" s="23" t="s">
        <v>977</v>
      </c>
      <c r="F83" s="27"/>
      <c r="G83" s="40"/>
      <c r="H83" s="39"/>
      <c r="I83" s="39"/>
      <c r="J83" s="39"/>
      <c r="K83" s="39"/>
      <c r="L83" s="39"/>
      <c r="M83" s="39"/>
      <c r="N83" s="39"/>
      <c r="O83" s="39"/>
      <c r="P83" s="39"/>
      <c r="Q83" s="39"/>
      <c r="R83" s="39"/>
      <c r="S83" s="39"/>
      <c r="T83" s="39"/>
      <c r="U83" s="39"/>
      <c r="V83" s="39"/>
      <c r="W83" s="39"/>
      <c r="X83" s="39"/>
      <c r="Y83" s="39"/>
    </row>
    <row r="84" spans="1:25" ht="66.75" customHeight="1">
      <c r="A84" s="235"/>
      <c r="B84" s="23" t="s">
        <v>978</v>
      </c>
      <c r="C84" s="26" t="s">
        <v>979</v>
      </c>
      <c r="D84" s="23" t="s">
        <v>980</v>
      </c>
      <c r="E84" s="23" t="s">
        <v>981</v>
      </c>
      <c r="F84" s="27"/>
      <c r="G84" s="40"/>
      <c r="H84" s="39"/>
      <c r="I84" s="39"/>
      <c r="J84" s="39"/>
      <c r="K84" s="39"/>
      <c r="L84" s="39"/>
      <c r="M84" s="39"/>
      <c r="N84" s="39"/>
      <c r="O84" s="39"/>
      <c r="P84" s="39"/>
      <c r="Q84" s="39"/>
      <c r="R84" s="39"/>
      <c r="S84" s="39"/>
      <c r="T84" s="39"/>
      <c r="U84" s="39"/>
      <c r="V84" s="39"/>
      <c r="W84" s="39"/>
      <c r="X84" s="39"/>
      <c r="Y84" s="39"/>
    </row>
    <row r="85" spans="1:25" ht="63.75">
      <c r="A85" s="73" t="s">
        <v>982</v>
      </c>
      <c r="B85" s="23" t="s">
        <v>983</v>
      </c>
      <c r="C85" s="239" t="s">
        <v>984</v>
      </c>
      <c r="D85" s="23" t="s">
        <v>985</v>
      </c>
      <c r="E85" s="23" t="s">
        <v>986</v>
      </c>
      <c r="F85" s="27"/>
      <c r="G85" s="40"/>
      <c r="H85" s="39"/>
      <c r="I85" s="39"/>
      <c r="J85" s="39"/>
      <c r="K85" s="39"/>
      <c r="L85" s="39"/>
      <c r="M85" s="39"/>
      <c r="N85" s="39"/>
      <c r="O85" s="39"/>
      <c r="P85" s="39"/>
      <c r="Q85" s="39"/>
      <c r="R85" s="39"/>
      <c r="S85" s="39"/>
      <c r="T85" s="39"/>
      <c r="U85" s="39"/>
      <c r="V85" s="39"/>
      <c r="W85" s="39"/>
      <c r="X85" s="39"/>
      <c r="Y85" s="39"/>
    </row>
    <row r="86" spans="1:25" ht="51">
      <c r="A86" s="233" t="s">
        <v>987</v>
      </c>
      <c r="B86" s="23" t="s">
        <v>988</v>
      </c>
      <c r="C86" s="235"/>
      <c r="D86" s="23" t="s">
        <v>989</v>
      </c>
      <c r="E86" s="23" t="s">
        <v>990</v>
      </c>
      <c r="F86" s="27"/>
      <c r="G86" s="40"/>
      <c r="H86" s="39"/>
      <c r="I86" s="39"/>
      <c r="J86" s="39"/>
      <c r="K86" s="39"/>
      <c r="L86" s="39"/>
      <c r="M86" s="39"/>
      <c r="N86" s="39"/>
      <c r="O86" s="39"/>
      <c r="P86" s="39"/>
      <c r="Q86" s="39"/>
      <c r="R86" s="39"/>
      <c r="S86" s="39"/>
      <c r="T86" s="39"/>
      <c r="U86" s="39"/>
      <c r="V86" s="39"/>
      <c r="W86" s="39"/>
      <c r="X86" s="39"/>
      <c r="Y86" s="39"/>
    </row>
    <row r="87" spans="1:25" ht="51">
      <c r="A87" s="234"/>
      <c r="B87" s="23" t="s">
        <v>991</v>
      </c>
      <c r="C87" s="234"/>
      <c r="D87" s="23" t="s">
        <v>992</v>
      </c>
      <c r="E87" s="23" t="s">
        <v>993</v>
      </c>
      <c r="F87" s="27"/>
      <c r="G87" s="40"/>
      <c r="H87" s="39"/>
      <c r="I87" s="39"/>
      <c r="J87" s="39"/>
      <c r="K87" s="39"/>
      <c r="L87" s="39"/>
      <c r="M87" s="39"/>
      <c r="N87" s="39"/>
      <c r="O87" s="39"/>
      <c r="P87" s="39"/>
      <c r="Q87" s="39"/>
      <c r="R87" s="39"/>
      <c r="S87" s="39"/>
      <c r="T87" s="39"/>
      <c r="U87" s="39"/>
      <c r="V87" s="39"/>
      <c r="W87" s="39"/>
      <c r="X87" s="39"/>
      <c r="Y87" s="39"/>
    </row>
    <row r="88" spans="1:25" ht="38.25">
      <c r="A88" s="37" t="s">
        <v>994</v>
      </c>
      <c r="B88" s="23" t="s">
        <v>995</v>
      </c>
      <c r="C88" s="26" t="s">
        <v>975</v>
      </c>
      <c r="D88" s="23" t="s">
        <v>996</v>
      </c>
      <c r="E88" s="23" t="s">
        <v>997</v>
      </c>
      <c r="F88" s="27"/>
      <c r="G88" s="40"/>
      <c r="H88" s="39"/>
      <c r="I88" s="39"/>
      <c r="J88" s="39"/>
      <c r="K88" s="39"/>
      <c r="L88" s="39"/>
      <c r="M88" s="39"/>
      <c r="N88" s="39"/>
      <c r="O88" s="39"/>
      <c r="P88" s="39"/>
      <c r="Q88" s="39"/>
      <c r="R88" s="39"/>
      <c r="S88" s="39"/>
      <c r="T88" s="39"/>
      <c r="U88" s="39"/>
      <c r="V88" s="39"/>
      <c r="W88" s="39"/>
      <c r="X88" s="39"/>
      <c r="Y88" s="39"/>
    </row>
    <row r="89" spans="1:25" ht="63.75">
      <c r="A89" s="37" t="s">
        <v>998</v>
      </c>
      <c r="B89" s="23" t="s">
        <v>999</v>
      </c>
      <c r="C89" s="26" t="s">
        <v>975</v>
      </c>
      <c r="D89" s="23" t="s">
        <v>1000</v>
      </c>
      <c r="E89" s="23" t="s">
        <v>1001</v>
      </c>
      <c r="F89" s="27"/>
      <c r="G89" s="40"/>
      <c r="H89" s="39"/>
      <c r="I89" s="39"/>
      <c r="J89" s="39"/>
      <c r="K89" s="39"/>
      <c r="L89" s="39"/>
      <c r="M89" s="39"/>
      <c r="N89" s="39"/>
      <c r="O89" s="39"/>
      <c r="P89" s="39"/>
      <c r="Q89" s="39"/>
      <c r="R89" s="39"/>
      <c r="S89" s="39"/>
      <c r="T89" s="39"/>
      <c r="U89" s="39"/>
      <c r="V89" s="39"/>
      <c r="W89" s="39"/>
      <c r="X89" s="39"/>
      <c r="Y89" s="39"/>
    </row>
    <row r="90" spans="1:25" ht="102">
      <c r="A90" s="233" t="s">
        <v>1002</v>
      </c>
      <c r="B90" s="23" t="s">
        <v>1003</v>
      </c>
      <c r="C90" s="26" t="s">
        <v>975</v>
      </c>
      <c r="D90" s="23" t="s">
        <v>1004</v>
      </c>
      <c r="E90" s="23" t="s">
        <v>1005</v>
      </c>
      <c r="F90" s="27"/>
      <c r="G90" s="23"/>
      <c r="H90" s="39"/>
      <c r="I90" s="39"/>
      <c r="J90" s="39"/>
      <c r="K90" s="39"/>
      <c r="L90" s="39"/>
      <c r="M90" s="39"/>
      <c r="N90" s="39"/>
      <c r="O90" s="39"/>
      <c r="P90" s="39"/>
      <c r="Q90" s="39"/>
      <c r="R90" s="39"/>
      <c r="S90" s="39"/>
      <c r="T90" s="39"/>
      <c r="U90" s="39"/>
      <c r="V90" s="39"/>
      <c r="W90" s="39"/>
      <c r="X90" s="39"/>
      <c r="Y90" s="39"/>
    </row>
    <row r="91" spans="1:25" ht="102">
      <c r="A91" s="234"/>
      <c r="B91" s="23" t="s">
        <v>1006</v>
      </c>
      <c r="C91" s="26" t="s">
        <v>975</v>
      </c>
      <c r="D91" s="23" t="s">
        <v>1007</v>
      </c>
      <c r="E91" s="23" t="s">
        <v>1008</v>
      </c>
      <c r="F91" s="27"/>
      <c r="G91" s="23"/>
      <c r="H91" s="39"/>
      <c r="I91" s="39"/>
      <c r="J91" s="39"/>
      <c r="K91" s="39"/>
      <c r="L91" s="39"/>
      <c r="M91" s="39"/>
      <c r="N91" s="39"/>
      <c r="O91" s="39"/>
      <c r="P91" s="39"/>
      <c r="Q91" s="39"/>
      <c r="R91" s="39"/>
      <c r="S91" s="39"/>
      <c r="T91" s="39"/>
      <c r="U91" s="39"/>
      <c r="V91" s="39"/>
      <c r="W91" s="39"/>
      <c r="X91" s="39"/>
      <c r="Y91" s="39"/>
    </row>
    <row r="92" spans="1:25" ht="89.25">
      <c r="A92" s="37" t="s">
        <v>1009</v>
      </c>
      <c r="B92" s="23" t="s">
        <v>1010</v>
      </c>
      <c r="C92" s="26" t="s">
        <v>975</v>
      </c>
      <c r="D92" s="23" t="s">
        <v>1011</v>
      </c>
      <c r="E92" s="23" t="s">
        <v>1012</v>
      </c>
      <c r="F92" s="27"/>
      <c r="G92" s="40"/>
      <c r="H92" s="39"/>
      <c r="I92" s="39"/>
      <c r="J92" s="39"/>
      <c r="K92" s="39"/>
      <c r="L92" s="39"/>
      <c r="M92" s="39"/>
      <c r="N92" s="39"/>
      <c r="O92" s="39"/>
      <c r="P92" s="39"/>
      <c r="Q92" s="39"/>
      <c r="R92" s="39"/>
      <c r="S92" s="39"/>
      <c r="T92" s="39"/>
      <c r="U92" s="39"/>
      <c r="V92" s="39"/>
      <c r="W92" s="39"/>
      <c r="X92" s="39"/>
      <c r="Y92" s="39"/>
    </row>
    <row r="93" spans="1:25" ht="51">
      <c r="A93" s="233" t="s">
        <v>1013</v>
      </c>
      <c r="B93" s="23" t="s">
        <v>1014</v>
      </c>
      <c r="C93" s="26" t="s">
        <v>975</v>
      </c>
      <c r="D93" s="23" t="s">
        <v>1015</v>
      </c>
      <c r="E93" s="23" t="s">
        <v>1016</v>
      </c>
      <c r="F93" s="27"/>
      <c r="G93" s="40"/>
      <c r="H93" s="39"/>
      <c r="I93" s="39"/>
      <c r="J93" s="39"/>
      <c r="K93" s="39"/>
      <c r="L93" s="39"/>
      <c r="M93" s="39"/>
      <c r="N93" s="39"/>
      <c r="O93" s="39"/>
      <c r="P93" s="39"/>
      <c r="Q93" s="39"/>
      <c r="R93" s="39"/>
      <c r="S93" s="39"/>
      <c r="T93" s="39"/>
      <c r="U93" s="39"/>
      <c r="V93" s="39"/>
      <c r="W93" s="39"/>
      <c r="X93" s="39"/>
      <c r="Y93" s="39"/>
    </row>
    <row r="94" spans="1:25" ht="51">
      <c r="A94" s="235"/>
      <c r="B94" s="23" t="s">
        <v>1017</v>
      </c>
      <c r="C94" s="26" t="s">
        <v>975</v>
      </c>
      <c r="D94" s="23" t="s">
        <v>1015</v>
      </c>
      <c r="E94" s="23" t="s">
        <v>1018</v>
      </c>
      <c r="F94" s="27"/>
      <c r="G94" s="23" t="s">
        <v>1019</v>
      </c>
      <c r="H94" s="39"/>
      <c r="I94" s="39"/>
      <c r="J94" s="39"/>
      <c r="K94" s="39"/>
      <c r="L94" s="39"/>
      <c r="M94" s="39"/>
      <c r="N94" s="39"/>
      <c r="O94" s="39"/>
      <c r="P94" s="39"/>
      <c r="Q94" s="39"/>
      <c r="R94" s="39"/>
      <c r="S94" s="39"/>
      <c r="T94" s="39"/>
      <c r="U94" s="39"/>
      <c r="V94" s="39"/>
      <c r="W94" s="39"/>
      <c r="X94" s="39"/>
      <c r="Y94" s="39"/>
    </row>
    <row r="95" spans="1:25" ht="63.75">
      <c r="A95" s="234"/>
      <c r="B95" s="23" t="s">
        <v>1020</v>
      </c>
      <c r="C95" s="26" t="s">
        <v>975</v>
      </c>
      <c r="D95" s="23" t="s">
        <v>1021</v>
      </c>
      <c r="E95" s="23" t="s">
        <v>1022</v>
      </c>
      <c r="F95" s="27"/>
      <c r="G95" s="23"/>
      <c r="H95" s="39"/>
      <c r="I95" s="39"/>
      <c r="J95" s="39"/>
      <c r="K95" s="39"/>
      <c r="L95" s="39"/>
      <c r="M95" s="39"/>
      <c r="N95" s="39"/>
      <c r="O95" s="39"/>
      <c r="P95" s="39"/>
      <c r="Q95" s="39"/>
      <c r="R95" s="39"/>
      <c r="S95" s="39"/>
      <c r="T95" s="39"/>
      <c r="U95" s="39"/>
      <c r="V95" s="39"/>
      <c r="W95" s="39"/>
      <c r="X95" s="39"/>
      <c r="Y95" s="39"/>
    </row>
    <row r="96" spans="1:25" ht="12.75">
      <c r="A96" s="236" t="s">
        <v>1023</v>
      </c>
      <c r="B96" s="237"/>
      <c r="C96" s="237"/>
      <c r="D96" s="237"/>
      <c r="E96" s="237"/>
      <c r="F96" s="237"/>
      <c r="G96" s="238"/>
      <c r="H96" s="39"/>
      <c r="I96" s="39"/>
      <c r="J96" s="39"/>
      <c r="K96" s="39"/>
      <c r="L96" s="39"/>
      <c r="M96" s="39"/>
      <c r="N96" s="39"/>
      <c r="O96" s="39"/>
      <c r="P96" s="39"/>
      <c r="Q96" s="39"/>
      <c r="R96" s="39"/>
      <c r="S96" s="39"/>
      <c r="T96" s="39"/>
      <c r="U96" s="39"/>
      <c r="V96" s="39"/>
      <c r="W96" s="39"/>
      <c r="X96" s="39"/>
      <c r="Y96" s="39"/>
    </row>
    <row r="97" spans="1:7" ht="25.5">
      <c r="A97" s="74" t="s">
        <v>1024</v>
      </c>
      <c r="B97" s="57" t="s">
        <v>1025</v>
      </c>
      <c r="C97" s="57" t="s">
        <v>1026</v>
      </c>
      <c r="D97" s="57" t="s">
        <v>1027</v>
      </c>
      <c r="E97" s="25" t="s">
        <v>1028</v>
      </c>
      <c r="F97" s="27"/>
      <c r="G97" s="25"/>
    </row>
    <row r="98" spans="1:7" ht="25.5">
      <c r="A98" s="75"/>
      <c r="B98" s="57" t="s">
        <v>1029</v>
      </c>
      <c r="C98" s="42" t="s">
        <v>1026</v>
      </c>
      <c r="D98" s="57" t="s">
        <v>1030</v>
      </c>
      <c r="E98" s="25" t="s">
        <v>1031</v>
      </c>
      <c r="F98" s="27"/>
      <c r="G98" s="25"/>
    </row>
    <row r="99" spans="1:7" ht="25.5">
      <c r="A99" s="75"/>
      <c r="B99" s="57" t="s">
        <v>1032</v>
      </c>
      <c r="C99" s="42" t="s">
        <v>1026</v>
      </c>
      <c r="D99" s="57" t="s">
        <v>1033</v>
      </c>
      <c r="E99" s="23" t="s">
        <v>1034</v>
      </c>
      <c r="F99" s="27"/>
      <c r="G99" s="25"/>
    </row>
    <row r="100" spans="1:7" ht="76.5">
      <c r="A100" s="252" t="s">
        <v>1035</v>
      </c>
      <c r="B100" s="57" t="s">
        <v>1036</v>
      </c>
      <c r="C100" s="57" t="s">
        <v>1037</v>
      </c>
      <c r="D100" s="25" t="s">
        <v>1038</v>
      </c>
      <c r="E100" s="25" t="s">
        <v>1039</v>
      </c>
      <c r="F100" s="27"/>
      <c r="G100" s="28"/>
    </row>
    <row r="101" spans="1:7" ht="63.75">
      <c r="A101" s="235"/>
      <c r="B101" s="57" t="s">
        <v>1040</v>
      </c>
      <c r="C101" s="57" t="s">
        <v>1037</v>
      </c>
      <c r="D101" s="25" t="s">
        <v>1041</v>
      </c>
      <c r="E101" s="25" t="s">
        <v>1042</v>
      </c>
      <c r="F101" s="27"/>
      <c r="G101" s="28"/>
    </row>
    <row r="102" spans="1:7" ht="63.75">
      <c r="A102" s="235"/>
      <c r="B102" s="57" t="s">
        <v>1043</v>
      </c>
      <c r="C102" s="57" t="s">
        <v>1037</v>
      </c>
      <c r="D102" s="25" t="s">
        <v>1044</v>
      </c>
      <c r="E102" s="25" t="s">
        <v>1045</v>
      </c>
      <c r="F102" s="27"/>
      <c r="G102" s="28"/>
    </row>
    <row r="103" spans="1:7" ht="63.75">
      <c r="A103" s="235"/>
      <c r="B103" s="57" t="s">
        <v>1046</v>
      </c>
      <c r="C103" s="57" t="s">
        <v>1037</v>
      </c>
      <c r="D103" s="25" t="s">
        <v>1047</v>
      </c>
      <c r="E103" s="25" t="s">
        <v>1048</v>
      </c>
      <c r="F103" s="27"/>
      <c r="G103" s="28"/>
    </row>
    <row r="104" spans="1:7" ht="63.75">
      <c r="A104" s="234"/>
      <c r="B104" s="57" t="s">
        <v>1049</v>
      </c>
      <c r="C104" s="57" t="s">
        <v>1037</v>
      </c>
      <c r="D104" s="25" t="s">
        <v>1050</v>
      </c>
      <c r="E104" s="25" t="s">
        <v>1051</v>
      </c>
      <c r="F104" s="27"/>
      <c r="G104" s="28"/>
    </row>
    <row r="105" spans="1:7" ht="51">
      <c r="A105" s="59"/>
      <c r="B105" s="76" t="s">
        <v>1052</v>
      </c>
      <c r="C105" s="67" t="s">
        <v>1053</v>
      </c>
      <c r="D105" s="77" t="s">
        <v>1054</v>
      </c>
      <c r="E105" s="78" t="s">
        <v>1055</v>
      </c>
      <c r="F105" s="27"/>
      <c r="G105" s="28"/>
    </row>
    <row r="106" spans="1:7" ht="63.75">
      <c r="A106" s="59" t="s">
        <v>1056</v>
      </c>
      <c r="B106" s="57" t="s">
        <v>1057</v>
      </c>
      <c r="C106" s="25" t="s">
        <v>1058</v>
      </c>
      <c r="D106" s="25" t="s">
        <v>1059</v>
      </c>
      <c r="E106" s="25" t="s">
        <v>1060</v>
      </c>
      <c r="F106" s="27"/>
      <c r="G106" s="28"/>
    </row>
    <row r="107" spans="1:7" ht="76.5">
      <c r="A107" s="59" t="s">
        <v>1061</v>
      </c>
      <c r="B107" s="57" t="s">
        <v>1062</v>
      </c>
      <c r="C107" s="25" t="s">
        <v>1058</v>
      </c>
      <c r="D107" s="25" t="s">
        <v>1063</v>
      </c>
      <c r="E107" s="25" t="s">
        <v>1064</v>
      </c>
      <c r="F107" s="27"/>
      <c r="G107" s="28"/>
    </row>
    <row r="108" spans="1:7" ht="51">
      <c r="A108" s="37" t="s">
        <v>1065</v>
      </c>
      <c r="B108" s="25" t="s">
        <v>1066</v>
      </c>
      <c r="C108" s="25" t="s">
        <v>1037</v>
      </c>
      <c r="D108" s="25" t="s">
        <v>1067</v>
      </c>
      <c r="E108" s="25" t="s">
        <v>1068</v>
      </c>
      <c r="F108" s="27"/>
      <c r="G108" s="28"/>
    </row>
    <row r="109" spans="1:7" ht="12.75">
      <c r="A109" s="236" t="s">
        <v>1069</v>
      </c>
      <c r="B109" s="237"/>
      <c r="C109" s="237"/>
      <c r="D109" s="237"/>
      <c r="E109" s="237"/>
      <c r="F109" s="237"/>
      <c r="G109" s="238"/>
    </row>
    <row r="110" spans="1:7" ht="51">
      <c r="A110" s="37" t="s">
        <v>1070</v>
      </c>
      <c r="B110" s="79" t="s">
        <v>1025</v>
      </c>
      <c r="C110" s="41" t="s">
        <v>1071</v>
      </c>
      <c r="D110" s="25" t="s">
        <v>1072</v>
      </c>
      <c r="E110" s="25" t="s">
        <v>1073</v>
      </c>
      <c r="F110" s="27"/>
      <c r="G110" s="28"/>
    </row>
    <row r="111" spans="1:7" ht="76.5">
      <c r="A111" s="233" t="s">
        <v>1074</v>
      </c>
      <c r="B111" s="79" t="s">
        <v>1036</v>
      </c>
      <c r="C111" s="41" t="s">
        <v>1071</v>
      </c>
      <c r="D111" s="25" t="s">
        <v>1075</v>
      </c>
      <c r="E111" s="25" t="s">
        <v>1039</v>
      </c>
      <c r="F111" s="27"/>
      <c r="G111" s="28"/>
    </row>
    <row r="112" spans="1:7" ht="63.75">
      <c r="A112" s="235"/>
      <c r="B112" s="79" t="s">
        <v>1076</v>
      </c>
      <c r="C112" s="41" t="s">
        <v>1071</v>
      </c>
      <c r="D112" s="25" t="s">
        <v>1077</v>
      </c>
      <c r="E112" s="25" t="s">
        <v>1078</v>
      </c>
      <c r="F112" s="27"/>
      <c r="G112" s="28"/>
    </row>
    <row r="113" spans="1:7" ht="63.75">
      <c r="A113" s="235"/>
      <c r="B113" s="79" t="s">
        <v>1079</v>
      </c>
      <c r="C113" s="41" t="s">
        <v>1071</v>
      </c>
      <c r="D113" s="25" t="s">
        <v>1080</v>
      </c>
      <c r="E113" s="25" t="s">
        <v>1081</v>
      </c>
      <c r="F113" s="27"/>
      <c r="G113" s="28"/>
    </row>
    <row r="114" spans="1:7" ht="63.75">
      <c r="A114" s="235"/>
      <c r="B114" s="79" t="s">
        <v>1046</v>
      </c>
      <c r="C114" s="41" t="s">
        <v>1071</v>
      </c>
      <c r="D114" s="25" t="s">
        <v>1082</v>
      </c>
      <c r="E114" s="25" t="s">
        <v>1083</v>
      </c>
      <c r="F114" s="27"/>
      <c r="G114" s="28"/>
    </row>
    <row r="115" spans="1:7" ht="63.75">
      <c r="A115" s="235"/>
      <c r="B115" s="79" t="s">
        <v>1049</v>
      </c>
      <c r="C115" s="41" t="s">
        <v>1071</v>
      </c>
      <c r="D115" s="25" t="s">
        <v>1084</v>
      </c>
      <c r="E115" s="25" t="s">
        <v>1051</v>
      </c>
      <c r="F115" s="27"/>
      <c r="G115" s="28"/>
    </row>
    <row r="116" spans="1:7" ht="51">
      <c r="A116" s="234"/>
      <c r="B116" s="79" t="s">
        <v>1052</v>
      </c>
      <c r="C116" s="23" t="s">
        <v>1085</v>
      </c>
      <c r="D116" s="25" t="s">
        <v>1086</v>
      </c>
      <c r="E116" s="25" t="s">
        <v>1055</v>
      </c>
      <c r="F116" s="27"/>
      <c r="G116" s="28"/>
    </row>
    <row r="117" spans="1:7" ht="12.75">
      <c r="A117" s="80" t="s">
        <v>1087</v>
      </c>
      <c r="B117" s="41" t="s">
        <v>1088</v>
      </c>
      <c r="C117" s="41" t="s">
        <v>1071</v>
      </c>
      <c r="D117" s="57" t="s">
        <v>1089</v>
      </c>
      <c r="E117" s="23" t="s">
        <v>1090</v>
      </c>
      <c r="F117" s="27"/>
      <c r="G117" s="28"/>
    </row>
    <row r="118" spans="1:7" ht="38.25">
      <c r="A118" s="37" t="s">
        <v>1091</v>
      </c>
      <c r="B118" s="41" t="s">
        <v>1092</v>
      </c>
      <c r="C118" s="41" t="s">
        <v>1071</v>
      </c>
      <c r="D118" s="57" t="s">
        <v>1093</v>
      </c>
      <c r="E118" s="23" t="s">
        <v>1094</v>
      </c>
      <c r="F118" s="27"/>
      <c r="G118" s="28"/>
    </row>
  </sheetData>
  <mergeCells count="40">
    <mergeCell ref="A42:A44"/>
    <mergeCell ref="C42:C44"/>
    <mergeCell ref="A45:A49"/>
    <mergeCell ref="C45:C49"/>
    <mergeCell ref="C64:C67"/>
    <mergeCell ref="A111:A116"/>
    <mergeCell ref="C74:C75"/>
    <mergeCell ref="C77:C78"/>
    <mergeCell ref="A82:G82"/>
    <mergeCell ref="C85:C87"/>
    <mergeCell ref="A86:A87"/>
    <mergeCell ref="A96:G96"/>
    <mergeCell ref="A109:G109"/>
    <mergeCell ref="A76:A79"/>
    <mergeCell ref="A83:A84"/>
    <mergeCell ref="A90:A91"/>
    <mergeCell ref="A93:A95"/>
    <mergeCell ref="A100:A104"/>
    <mergeCell ref="C50:C52"/>
    <mergeCell ref="C53:C63"/>
    <mergeCell ref="A68:G68"/>
    <mergeCell ref="A50:A67"/>
    <mergeCell ref="A73:A75"/>
    <mergeCell ref="A23:G23"/>
    <mergeCell ref="A24:A34"/>
    <mergeCell ref="C24:C34"/>
    <mergeCell ref="C35:C39"/>
    <mergeCell ref="C40:C41"/>
    <mergeCell ref="A35:A39"/>
    <mergeCell ref="A40:A41"/>
    <mergeCell ref="A16:G16"/>
    <mergeCell ref="C18:C19"/>
    <mergeCell ref="A18:A19"/>
    <mergeCell ref="A20:A22"/>
    <mergeCell ref="C20:C22"/>
    <mergeCell ref="A1:D1"/>
    <mergeCell ref="D3:D7"/>
    <mergeCell ref="A10:G10"/>
    <mergeCell ref="A11:A15"/>
    <mergeCell ref="C11:C15"/>
  </mergeCells>
  <dataValidations count="1">
    <dataValidation type="list" allowBlank="1" showErrorMessage="1" sqref="F11:F15 F17:F22 F24:F67 F69:F81 F83:F95 F97:F108 F110:F118" xr:uid="{00000000-0002-0000-2000-000000000000}">
      <formula1>"PASSED,FAILED,IN PROGRESS,LOCAL READY"</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pageSetUpPr fitToPage="1"/>
  </sheetPr>
  <dimension ref="A1:Z108"/>
  <sheetViews>
    <sheetView workbookViewId="0"/>
  </sheetViews>
  <sheetFormatPr defaultColWidth="12.5703125" defaultRowHeight="15.75" customHeight="1"/>
  <cols>
    <col min="1" max="1" width="46.5703125" customWidth="1"/>
    <col min="2" max="2" width="53.5703125" customWidth="1"/>
    <col min="3" max="3" width="69.5703125" customWidth="1"/>
    <col min="4" max="4" width="44.5703125" customWidth="1"/>
    <col min="5" max="5" width="47.85546875" customWidth="1"/>
    <col min="6" max="6" width="25.5703125" customWidth="1"/>
    <col min="7" max="7" width="25.42578125" customWidth="1"/>
    <col min="8" max="8" width="30.85546875" customWidth="1"/>
  </cols>
  <sheetData>
    <row r="1" spans="1:8" ht="14.25">
      <c r="A1" s="240" t="s">
        <v>1555</v>
      </c>
      <c r="B1" s="237"/>
      <c r="C1" s="237"/>
      <c r="D1" s="238"/>
    </row>
    <row r="2" spans="1:8" ht="15">
      <c r="A2" s="1"/>
      <c r="B2" s="2" t="s">
        <v>2</v>
      </c>
      <c r="C2" s="2" t="s">
        <v>3</v>
      </c>
      <c r="D2" s="3" t="s">
        <v>4</v>
      </c>
    </row>
    <row r="3" spans="1:8" ht="15">
      <c r="A3" s="7" t="s">
        <v>5</v>
      </c>
      <c r="B3" s="8">
        <f>COUNTIF(G$11:G268, "NOT YET STARTED")</f>
        <v>13</v>
      </c>
      <c r="C3" s="9">
        <f t="shared" ref="C3:C6" si="0">IFERROR(B3/COUNTIF(B$11:B267, ""), 0)</f>
        <v>7.1038251366120214E-2</v>
      </c>
      <c r="D3" s="266">
        <f>IFERROR(B5/COUNTIF(B$11:B255, ""), 0)</f>
        <v>0.33333333333333331</v>
      </c>
    </row>
    <row r="4" spans="1:8" ht="15">
      <c r="A4" s="7" t="s">
        <v>7</v>
      </c>
      <c r="B4" s="8">
        <f>COUNTIF(G$11:G269, "IN PROGRESS")</f>
        <v>0</v>
      </c>
      <c r="C4" s="9">
        <f t="shared" si="0"/>
        <v>0</v>
      </c>
      <c r="D4" s="242"/>
    </row>
    <row r="5" spans="1:8" ht="15">
      <c r="A5" s="7" t="s">
        <v>8</v>
      </c>
      <c r="B5" s="8">
        <f>COUNTIF(G$11:G270, "PASSED")</f>
        <v>57</v>
      </c>
      <c r="C5" s="9">
        <f t="shared" si="0"/>
        <v>0.30810810810810813</v>
      </c>
      <c r="D5" s="242"/>
    </row>
    <row r="6" spans="1:8" ht="15">
      <c r="A6" s="7" t="s">
        <v>9</v>
      </c>
      <c r="B6" s="8">
        <f>COUNTIF(G$11:G271, "FAILED")</f>
        <v>4</v>
      </c>
      <c r="C6" s="9">
        <f t="shared" si="0"/>
        <v>2.1505376344086023E-2</v>
      </c>
      <c r="D6" s="242"/>
    </row>
    <row r="7" spans="1:8" ht="19.5">
      <c r="A7" s="14" t="s">
        <v>10</v>
      </c>
      <c r="B7" s="14">
        <f>SUM(B3:B6)</f>
        <v>74</v>
      </c>
      <c r="C7" s="14">
        <f>IFERROR((B7/#REF!)*100,0)</f>
        <v>0</v>
      </c>
      <c r="D7" s="243"/>
    </row>
    <row r="9" spans="1:8" ht="16.5" customHeight="1">
      <c r="A9" s="18" t="s">
        <v>11</v>
      </c>
      <c r="B9" s="18" t="s">
        <v>12</v>
      </c>
      <c r="C9" s="18" t="s">
        <v>13</v>
      </c>
      <c r="D9" s="19" t="s">
        <v>14</v>
      </c>
      <c r="E9" s="18" t="s">
        <v>15</v>
      </c>
      <c r="F9" s="18" t="s">
        <v>2240</v>
      </c>
      <c r="G9" s="21" t="s">
        <v>16</v>
      </c>
      <c r="H9" s="21" t="s">
        <v>17</v>
      </c>
    </row>
    <row r="10" spans="1:8" ht="12.75">
      <c r="A10" s="236" t="s">
        <v>529</v>
      </c>
      <c r="B10" s="237"/>
      <c r="C10" s="237"/>
      <c r="D10" s="237"/>
      <c r="E10" s="237"/>
      <c r="F10" s="237"/>
      <c r="G10" s="237"/>
      <c r="H10" s="238"/>
    </row>
    <row r="11" spans="1:8" ht="25.5">
      <c r="A11" s="245" t="s">
        <v>530</v>
      </c>
      <c r="B11" s="25" t="s">
        <v>531</v>
      </c>
      <c r="C11" s="253" t="s">
        <v>21</v>
      </c>
      <c r="D11" s="57" t="s">
        <v>22</v>
      </c>
      <c r="E11" s="30" t="s">
        <v>23</v>
      </c>
      <c r="F11" s="27" t="s">
        <v>2254</v>
      </c>
      <c r="G11" s="27" t="s">
        <v>24</v>
      </c>
      <c r="H11" s="28"/>
    </row>
    <row r="12" spans="1:8" ht="12.75">
      <c r="A12" s="235"/>
      <c r="B12" s="57" t="s">
        <v>1556</v>
      </c>
      <c r="C12" s="235"/>
      <c r="D12" s="57" t="s">
        <v>26</v>
      </c>
      <c r="E12" s="58" t="s">
        <v>27</v>
      </c>
      <c r="F12" s="27" t="s">
        <v>2319</v>
      </c>
      <c r="G12" s="27" t="s">
        <v>24</v>
      </c>
      <c r="H12" s="28"/>
    </row>
    <row r="13" spans="1:8" ht="12.75">
      <c r="A13" s="235"/>
      <c r="B13" s="57" t="s">
        <v>532</v>
      </c>
      <c r="C13" s="235"/>
      <c r="D13" s="57" t="s">
        <v>533</v>
      </c>
      <c r="E13" s="58" t="s">
        <v>534</v>
      </c>
      <c r="F13" s="27" t="s">
        <v>2319</v>
      </c>
      <c r="G13" s="27" t="s">
        <v>24</v>
      </c>
      <c r="H13" s="28"/>
    </row>
    <row r="14" spans="1:8" ht="38.25">
      <c r="A14" s="235"/>
      <c r="B14" s="57" t="s">
        <v>28</v>
      </c>
      <c r="C14" s="235"/>
      <c r="D14" s="57" t="s">
        <v>29</v>
      </c>
      <c r="E14" s="49" t="s">
        <v>535</v>
      </c>
      <c r="F14" s="27" t="s">
        <v>2319</v>
      </c>
      <c r="G14" s="27" t="s">
        <v>24</v>
      </c>
      <c r="H14" s="28"/>
    </row>
    <row r="15" spans="1:8" ht="12.75">
      <c r="A15" s="235"/>
      <c r="B15" s="57" t="s">
        <v>536</v>
      </c>
      <c r="C15" s="235"/>
      <c r="D15" s="57" t="s">
        <v>537</v>
      </c>
      <c r="E15" s="58" t="s">
        <v>23</v>
      </c>
      <c r="F15" s="27" t="s">
        <v>2254</v>
      </c>
      <c r="G15" s="27" t="s">
        <v>24</v>
      </c>
      <c r="H15" s="28"/>
    </row>
    <row r="16" spans="1:8" ht="12.75">
      <c r="A16" s="235"/>
      <c r="B16" s="57" t="s">
        <v>31</v>
      </c>
      <c r="C16" s="235"/>
      <c r="D16" s="57" t="s">
        <v>32</v>
      </c>
      <c r="E16" s="58" t="s">
        <v>33</v>
      </c>
      <c r="F16" s="27" t="s">
        <v>2254</v>
      </c>
      <c r="G16" s="27" t="s">
        <v>24</v>
      </c>
      <c r="H16" s="28"/>
    </row>
    <row r="17" spans="1:26" ht="12.75">
      <c r="A17" s="235"/>
      <c r="B17" s="57" t="s">
        <v>34</v>
      </c>
      <c r="C17" s="235"/>
      <c r="D17" s="57" t="s">
        <v>35</v>
      </c>
      <c r="E17" s="58" t="s">
        <v>36</v>
      </c>
      <c r="F17" s="27" t="s">
        <v>2319</v>
      </c>
      <c r="G17" s="27" t="s">
        <v>24</v>
      </c>
      <c r="H17" s="28"/>
    </row>
    <row r="18" spans="1:26" ht="89.25">
      <c r="A18" s="235"/>
      <c r="B18" s="23" t="s">
        <v>538</v>
      </c>
      <c r="C18" s="235"/>
      <c r="D18" s="23" t="s">
        <v>1557</v>
      </c>
      <c r="E18" s="30" t="s">
        <v>539</v>
      </c>
      <c r="F18" s="30" t="s">
        <v>2319</v>
      </c>
      <c r="G18" s="30" t="s">
        <v>24</v>
      </c>
      <c r="H18" s="25"/>
      <c r="I18" s="50"/>
      <c r="J18" s="50"/>
      <c r="K18" s="50"/>
      <c r="L18" s="50"/>
      <c r="M18" s="50"/>
      <c r="N18" s="50"/>
      <c r="O18" s="50"/>
      <c r="P18" s="50"/>
      <c r="Q18" s="50"/>
      <c r="R18" s="50"/>
      <c r="S18" s="50"/>
      <c r="T18" s="50"/>
      <c r="U18" s="50"/>
      <c r="V18" s="50"/>
      <c r="W18" s="50"/>
      <c r="X18" s="50"/>
      <c r="Y18" s="50"/>
      <c r="Z18" s="50"/>
    </row>
    <row r="19" spans="1:26" ht="51">
      <c r="A19" s="235"/>
      <c r="B19" s="23" t="s">
        <v>540</v>
      </c>
      <c r="C19" s="235"/>
      <c r="D19" s="23" t="s">
        <v>541</v>
      </c>
      <c r="E19" s="30" t="s">
        <v>542</v>
      </c>
      <c r="F19" s="30" t="s">
        <v>2319</v>
      </c>
      <c r="G19" s="30" t="s">
        <v>24</v>
      </c>
      <c r="H19" s="25"/>
      <c r="I19" s="50"/>
      <c r="J19" s="50"/>
      <c r="K19" s="50"/>
      <c r="L19" s="50"/>
      <c r="M19" s="50"/>
      <c r="N19" s="50"/>
      <c r="O19" s="50"/>
      <c r="P19" s="50"/>
      <c r="Q19" s="50"/>
      <c r="R19" s="50"/>
      <c r="S19" s="50"/>
      <c r="T19" s="50"/>
      <c r="U19" s="50"/>
      <c r="V19" s="50"/>
      <c r="W19" s="50"/>
      <c r="X19" s="50"/>
      <c r="Y19" s="50"/>
      <c r="Z19" s="50"/>
    </row>
    <row r="20" spans="1:26" ht="51">
      <c r="A20" s="235"/>
      <c r="B20" s="23" t="s">
        <v>543</v>
      </c>
      <c r="C20" s="235"/>
      <c r="D20" s="38" t="s">
        <v>544</v>
      </c>
      <c r="E20" s="30" t="s">
        <v>545</v>
      </c>
      <c r="F20" s="30" t="s">
        <v>2319</v>
      </c>
      <c r="G20" s="30" t="s">
        <v>24</v>
      </c>
      <c r="H20" s="25"/>
      <c r="I20" s="50"/>
      <c r="J20" s="50"/>
      <c r="K20" s="50"/>
      <c r="L20" s="50"/>
      <c r="M20" s="50"/>
      <c r="N20" s="50"/>
      <c r="O20" s="50"/>
      <c r="P20" s="50"/>
      <c r="Q20" s="50"/>
      <c r="R20" s="50"/>
      <c r="S20" s="50"/>
      <c r="T20" s="50"/>
      <c r="U20" s="50"/>
      <c r="V20" s="50"/>
      <c r="W20" s="50"/>
      <c r="X20" s="50"/>
      <c r="Y20" s="50"/>
      <c r="Z20" s="50"/>
    </row>
    <row r="21" spans="1:26" ht="51">
      <c r="A21" s="234"/>
      <c r="B21" s="23" t="s">
        <v>546</v>
      </c>
      <c r="C21" s="234"/>
      <c r="D21" s="38" t="s">
        <v>547</v>
      </c>
      <c r="E21" s="49" t="s">
        <v>548</v>
      </c>
      <c r="F21" s="30" t="s">
        <v>2319</v>
      </c>
      <c r="G21" s="30" t="s">
        <v>24</v>
      </c>
      <c r="H21" s="25"/>
      <c r="I21" s="50"/>
      <c r="J21" s="50"/>
      <c r="K21" s="50"/>
      <c r="L21" s="50"/>
      <c r="M21" s="50"/>
      <c r="N21" s="50"/>
      <c r="O21" s="50"/>
      <c r="P21" s="50"/>
      <c r="Q21" s="50"/>
      <c r="R21" s="50"/>
      <c r="S21" s="50"/>
      <c r="T21" s="50"/>
      <c r="U21" s="50"/>
      <c r="V21" s="50"/>
      <c r="W21" s="50"/>
      <c r="X21" s="50"/>
      <c r="Y21" s="50"/>
      <c r="Z21" s="50"/>
    </row>
    <row r="22" spans="1:26" ht="12.75">
      <c r="A22" s="236" t="s">
        <v>1558</v>
      </c>
      <c r="B22" s="237"/>
      <c r="C22" s="237"/>
      <c r="D22" s="237"/>
      <c r="E22" s="237"/>
      <c r="F22" s="237"/>
      <c r="G22" s="237"/>
      <c r="H22" s="238"/>
      <c r="I22" s="50"/>
      <c r="J22" s="50"/>
      <c r="K22" s="50"/>
      <c r="L22" s="50"/>
      <c r="M22" s="50"/>
      <c r="N22" s="50"/>
      <c r="O22" s="50"/>
      <c r="P22" s="50"/>
      <c r="Q22" s="50"/>
      <c r="R22" s="50"/>
      <c r="S22" s="50"/>
      <c r="T22" s="50"/>
      <c r="U22" s="50"/>
      <c r="V22" s="50"/>
      <c r="W22" s="50"/>
      <c r="X22" s="50"/>
      <c r="Y22" s="50"/>
      <c r="Z22" s="50"/>
    </row>
    <row r="23" spans="1:26" ht="25.5">
      <c r="A23" s="245" t="s">
        <v>549</v>
      </c>
      <c r="B23" s="26" t="s">
        <v>550</v>
      </c>
      <c r="C23" s="254" t="s">
        <v>551</v>
      </c>
      <c r="D23" s="26" t="s">
        <v>552</v>
      </c>
      <c r="E23" s="23" t="s">
        <v>553</v>
      </c>
      <c r="F23" s="224" t="s">
        <v>2256</v>
      </c>
      <c r="G23" s="27" t="s">
        <v>24</v>
      </c>
      <c r="H23" s="57"/>
    </row>
    <row r="24" spans="1:26" ht="12.75">
      <c r="A24" s="235"/>
      <c r="B24" s="23" t="s">
        <v>554</v>
      </c>
      <c r="C24" s="235"/>
      <c r="D24" s="57" t="s">
        <v>555</v>
      </c>
      <c r="E24" s="23" t="s">
        <v>556</v>
      </c>
      <c r="F24" s="224" t="s">
        <v>2256</v>
      </c>
      <c r="G24" s="27" t="s">
        <v>24</v>
      </c>
      <c r="H24" s="57"/>
    </row>
    <row r="25" spans="1:26" ht="38.25">
      <c r="A25" s="235"/>
      <c r="B25" s="26" t="s">
        <v>557</v>
      </c>
      <c r="C25" s="235"/>
      <c r="D25" s="248" t="s">
        <v>558</v>
      </c>
      <c r="E25" s="57" t="s">
        <v>559</v>
      </c>
      <c r="F25" s="224" t="s">
        <v>2256</v>
      </c>
      <c r="G25" s="27" t="s">
        <v>24</v>
      </c>
      <c r="H25" s="57"/>
    </row>
    <row r="26" spans="1:26" ht="25.5">
      <c r="A26" s="235"/>
      <c r="B26" s="23" t="s">
        <v>560</v>
      </c>
      <c r="C26" s="235"/>
      <c r="D26" s="234"/>
      <c r="E26" s="57" t="s">
        <v>559</v>
      </c>
      <c r="F26" s="230" t="s">
        <v>2256</v>
      </c>
      <c r="G26" s="27" t="s">
        <v>24</v>
      </c>
      <c r="H26" s="28"/>
    </row>
    <row r="27" spans="1:26" ht="25.5">
      <c r="A27" s="235"/>
      <c r="B27" s="23" t="s">
        <v>561</v>
      </c>
      <c r="C27" s="235"/>
      <c r="D27" s="57" t="s">
        <v>562</v>
      </c>
      <c r="E27" s="57" t="s">
        <v>563</v>
      </c>
      <c r="F27" s="230" t="s">
        <v>2256</v>
      </c>
      <c r="G27" s="27" t="s">
        <v>24</v>
      </c>
      <c r="H27" s="28"/>
    </row>
    <row r="28" spans="1:26" ht="25.5">
      <c r="A28" s="234"/>
      <c r="B28" s="23" t="s">
        <v>564</v>
      </c>
      <c r="C28" s="234"/>
      <c r="D28" s="57" t="s">
        <v>565</v>
      </c>
      <c r="E28" s="57" t="s">
        <v>566</v>
      </c>
      <c r="F28" s="230" t="s">
        <v>2256</v>
      </c>
      <c r="G28" s="27" t="s">
        <v>24</v>
      </c>
      <c r="H28" s="57"/>
    </row>
    <row r="29" spans="1:26" ht="89.25">
      <c r="A29" s="245" t="s">
        <v>1559</v>
      </c>
      <c r="B29" s="26" t="s">
        <v>72</v>
      </c>
      <c r="C29" s="254" t="s">
        <v>73</v>
      </c>
      <c r="D29" s="26" t="s">
        <v>1560</v>
      </c>
      <c r="E29" s="23" t="s">
        <v>75</v>
      </c>
      <c r="F29" s="224" t="s">
        <v>2320</v>
      </c>
      <c r="G29" s="27" t="s">
        <v>787</v>
      </c>
      <c r="H29" s="41" t="s">
        <v>1561</v>
      </c>
    </row>
    <row r="30" spans="1:26" ht="38.25">
      <c r="A30" s="235"/>
      <c r="B30" s="23" t="s">
        <v>789</v>
      </c>
      <c r="C30" s="235"/>
      <c r="D30" s="57" t="s">
        <v>1562</v>
      </c>
      <c r="E30" s="57" t="s">
        <v>1563</v>
      </c>
      <c r="F30" s="230" t="s">
        <v>2320</v>
      </c>
      <c r="G30" s="27" t="s">
        <v>787</v>
      </c>
      <c r="H30" s="41" t="s">
        <v>1561</v>
      </c>
    </row>
    <row r="31" spans="1:26" ht="38.25">
      <c r="A31" s="234"/>
      <c r="B31" s="23" t="s">
        <v>76</v>
      </c>
      <c r="C31" s="234"/>
      <c r="D31" s="42" t="s">
        <v>1564</v>
      </c>
      <c r="E31" s="57" t="s">
        <v>1565</v>
      </c>
      <c r="F31" s="230" t="s">
        <v>2289</v>
      </c>
      <c r="G31" s="27" t="s">
        <v>787</v>
      </c>
      <c r="H31" s="41" t="s">
        <v>1566</v>
      </c>
    </row>
    <row r="32" spans="1:26" ht="63.75">
      <c r="A32" s="29" t="s">
        <v>1567</v>
      </c>
      <c r="B32" s="23" t="s">
        <v>1568</v>
      </c>
      <c r="C32" s="27" t="s">
        <v>1569</v>
      </c>
      <c r="D32" s="25" t="s">
        <v>1570</v>
      </c>
      <c r="E32" s="23" t="s">
        <v>1571</v>
      </c>
      <c r="F32" s="30" t="s">
        <v>2275</v>
      </c>
      <c r="G32" s="27" t="s">
        <v>787</v>
      </c>
      <c r="H32" s="41" t="s">
        <v>1572</v>
      </c>
    </row>
    <row r="33" spans="1:8" ht="12.75">
      <c r="A33" s="245" t="s">
        <v>567</v>
      </c>
      <c r="B33" s="25" t="s">
        <v>568</v>
      </c>
      <c r="C33" s="254" t="s">
        <v>569</v>
      </c>
      <c r="D33" s="25" t="s">
        <v>570</v>
      </c>
      <c r="E33" s="23" t="s">
        <v>571</v>
      </c>
      <c r="F33" s="30" t="s">
        <v>2256</v>
      </c>
      <c r="G33" s="27" t="s">
        <v>787</v>
      </c>
      <c r="H33" s="41" t="s">
        <v>1572</v>
      </c>
    </row>
    <row r="34" spans="1:8" ht="25.5">
      <c r="A34" s="235"/>
      <c r="B34" s="25" t="s">
        <v>572</v>
      </c>
      <c r="C34" s="235"/>
      <c r="D34" s="25" t="s">
        <v>573</v>
      </c>
      <c r="E34" s="23" t="s">
        <v>574</v>
      </c>
      <c r="F34" s="30" t="s">
        <v>2256</v>
      </c>
      <c r="G34" s="27" t="s">
        <v>787</v>
      </c>
      <c r="H34" s="41" t="s">
        <v>1572</v>
      </c>
    </row>
    <row r="35" spans="1:8" ht="25.5">
      <c r="A35" s="235"/>
      <c r="B35" s="25" t="s">
        <v>575</v>
      </c>
      <c r="C35" s="235"/>
      <c r="D35" s="25" t="s">
        <v>576</v>
      </c>
      <c r="E35" s="23" t="s">
        <v>577</v>
      </c>
      <c r="F35" s="30" t="s">
        <v>2256</v>
      </c>
      <c r="G35" s="27" t="s">
        <v>787</v>
      </c>
      <c r="H35" s="41" t="s">
        <v>1572</v>
      </c>
    </row>
    <row r="36" spans="1:8" ht="51">
      <c r="A36" s="235"/>
      <c r="B36" s="25" t="s">
        <v>578</v>
      </c>
      <c r="C36" s="235"/>
      <c r="D36" s="25" t="s">
        <v>579</v>
      </c>
      <c r="E36" s="23" t="s">
        <v>580</v>
      </c>
      <c r="F36" s="30" t="s">
        <v>2256</v>
      </c>
      <c r="G36" s="27" t="s">
        <v>787</v>
      </c>
      <c r="H36" s="41" t="s">
        <v>1572</v>
      </c>
    </row>
    <row r="37" spans="1:8" ht="12.75">
      <c r="A37" s="235"/>
      <c r="B37" s="25" t="s">
        <v>581</v>
      </c>
      <c r="C37" s="235"/>
      <c r="D37" s="25" t="s">
        <v>582</v>
      </c>
      <c r="E37" s="23" t="s">
        <v>583</v>
      </c>
      <c r="F37" s="30" t="s">
        <v>2256</v>
      </c>
      <c r="G37" s="27" t="s">
        <v>787</v>
      </c>
      <c r="H37" s="41" t="s">
        <v>1572</v>
      </c>
    </row>
    <row r="38" spans="1:8" ht="12.75">
      <c r="A38" s="235"/>
      <c r="B38" s="25" t="s">
        <v>584</v>
      </c>
      <c r="C38" s="235"/>
      <c r="D38" s="25" t="s">
        <v>585</v>
      </c>
      <c r="E38" s="23" t="s">
        <v>586</v>
      </c>
      <c r="F38" s="30" t="s">
        <v>2256</v>
      </c>
      <c r="G38" s="27" t="s">
        <v>787</v>
      </c>
      <c r="H38" s="41" t="s">
        <v>1572</v>
      </c>
    </row>
    <row r="39" spans="1:8" ht="25.5">
      <c r="A39" s="235"/>
      <c r="B39" s="25" t="s">
        <v>587</v>
      </c>
      <c r="C39" s="235"/>
      <c r="D39" s="25" t="s">
        <v>588</v>
      </c>
      <c r="E39" s="23" t="s">
        <v>589</v>
      </c>
      <c r="F39" s="30" t="s">
        <v>2256</v>
      </c>
      <c r="G39" s="27" t="s">
        <v>787</v>
      </c>
      <c r="H39" s="41" t="s">
        <v>1572</v>
      </c>
    </row>
    <row r="40" spans="1:8" ht="51">
      <c r="A40" s="235"/>
      <c r="B40" s="25" t="s">
        <v>590</v>
      </c>
      <c r="C40" s="235"/>
      <c r="D40" s="25" t="s">
        <v>591</v>
      </c>
      <c r="E40" s="23" t="s">
        <v>592</v>
      </c>
      <c r="F40" s="30" t="s">
        <v>2256</v>
      </c>
      <c r="G40" s="27" t="s">
        <v>787</v>
      </c>
      <c r="H40" s="41" t="s">
        <v>1572</v>
      </c>
    </row>
    <row r="41" spans="1:8" ht="38.25">
      <c r="A41" s="234"/>
      <c r="B41" s="25" t="s">
        <v>593</v>
      </c>
      <c r="C41" s="234"/>
      <c r="D41" s="25" t="s">
        <v>594</v>
      </c>
      <c r="E41" s="23" t="s">
        <v>595</v>
      </c>
      <c r="F41" s="30" t="s">
        <v>2256</v>
      </c>
      <c r="G41" s="27" t="s">
        <v>787</v>
      </c>
      <c r="H41" s="41" t="s">
        <v>1572</v>
      </c>
    </row>
    <row r="42" spans="1:8" ht="12.75">
      <c r="A42" s="236" t="s">
        <v>1573</v>
      </c>
      <c r="B42" s="237"/>
      <c r="C42" s="237"/>
      <c r="D42" s="237"/>
      <c r="E42" s="237"/>
      <c r="F42" s="237"/>
      <c r="G42" s="237"/>
      <c r="H42" s="238"/>
    </row>
    <row r="43" spans="1:8" ht="12.75">
      <c r="A43" s="233" t="s">
        <v>1574</v>
      </c>
      <c r="B43" s="239" t="s">
        <v>1575</v>
      </c>
      <c r="C43" s="247" t="s">
        <v>1576</v>
      </c>
      <c r="D43" s="248" t="s">
        <v>1577</v>
      </c>
      <c r="E43" s="239" t="s">
        <v>1578</v>
      </c>
      <c r="F43" s="247" t="s">
        <v>2321</v>
      </c>
      <c r="G43" s="254" t="s">
        <v>42</v>
      </c>
      <c r="H43" s="267" t="s">
        <v>2322</v>
      </c>
    </row>
    <row r="44" spans="1:8" ht="12.75">
      <c r="A44" s="235"/>
      <c r="B44" s="235"/>
      <c r="C44" s="235"/>
      <c r="D44" s="235"/>
      <c r="E44" s="235"/>
      <c r="F44" s="235"/>
      <c r="G44" s="235"/>
      <c r="H44" s="235"/>
    </row>
    <row r="45" spans="1:8" ht="12.75">
      <c r="A45" s="235"/>
      <c r="B45" s="235"/>
      <c r="C45" s="235"/>
      <c r="D45" s="235"/>
      <c r="E45" s="235"/>
      <c r="F45" s="235"/>
      <c r="G45" s="235"/>
      <c r="H45" s="235"/>
    </row>
    <row r="46" spans="1:8" ht="12.75">
      <c r="A46" s="235"/>
      <c r="B46" s="235"/>
      <c r="C46" s="235"/>
      <c r="D46" s="235"/>
      <c r="E46" s="235"/>
      <c r="F46" s="235"/>
      <c r="G46" s="235"/>
      <c r="H46" s="235"/>
    </row>
    <row r="47" spans="1:8" ht="12.75">
      <c r="A47" s="235"/>
      <c r="B47" s="235"/>
      <c r="C47" s="235"/>
      <c r="D47" s="235"/>
      <c r="E47" s="235"/>
      <c r="F47" s="235"/>
      <c r="G47" s="235"/>
      <c r="H47" s="235"/>
    </row>
    <row r="48" spans="1:8" ht="18" customHeight="1">
      <c r="A48" s="234"/>
      <c r="B48" s="234"/>
      <c r="C48" s="234"/>
      <c r="D48" s="234"/>
      <c r="E48" s="234"/>
      <c r="F48" s="234"/>
      <c r="G48" s="234"/>
      <c r="H48" s="234"/>
    </row>
    <row r="49" spans="1:8" ht="38.25">
      <c r="A49" s="252" t="s">
        <v>1579</v>
      </c>
      <c r="B49" s="25" t="s">
        <v>1580</v>
      </c>
      <c r="C49" s="255" t="s">
        <v>1581</v>
      </c>
      <c r="D49" s="63" t="s">
        <v>1582</v>
      </c>
      <c r="E49" s="63" t="s">
        <v>1583</v>
      </c>
      <c r="F49" s="30" t="s">
        <v>2267</v>
      </c>
      <c r="G49" s="27" t="s">
        <v>24</v>
      </c>
      <c r="H49" s="64"/>
    </row>
    <row r="50" spans="1:8" ht="38.25">
      <c r="A50" s="235"/>
      <c r="B50" s="25" t="s">
        <v>1584</v>
      </c>
      <c r="C50" s="235"/>
      <c r="D50" s="63" t="s">
        <v>1585</v>
      </c>
      <c r="E50" s="63" t="s">
        <v>1586</v>
      </c>
      <c r="F50" s="30" t="s">
        <v>2267</v>
      </c>
      <c r="G50" s="27" t="s">
        <v>24</v>
      </c>
      <c r="H50" s="64"/>
    </row>
    <row r="51" spans="1:8" ht="38.25">
      <c r="A51" s="235"/>
      <c r="B51" s="25" t="s">
        <v>1587</v>
      </c>
      <c r="C51" s="235"/>
      <c r="D51" s="63" t="s">
        <v>1588</v>
      </c>
      <c r="E51" s="63" t="s">
        <v>1589</v>
      </c>
      <c r="F51" s="30" t="s">
        <v>2267</v>
      </c>
      <c r="G51" s="27" t="s">
        <v>24</v>
      </c>
      <c r="H51" s="64"/>
    </row>
    <row r="52" spans="1:8" ht="38.25">
      <c r="A52" s="235"/>
      <c r="B52" s="25" t="s">
        <v>1590</v>
      </c>
      <c r="C52" s="235"/>
      <c r="D52" s="63" t="s">
        <v>1591</v>
      </c>
      <c r="E52" s="63" t="s">
        <v>1592</v>
      </c>
      <c r="F52" s="30" t="s">
        <v>2267</v>
      </c>
      <c r="G52" s="27" t="s">
        <v>24</v>
      </c>
      <c r="H52" s="64"/>
    </row>
    <row r="53" spans="1:8" ht="38.25">
      <c r="A53" s="235"/>
      <c r="B53" s="25" t="s">
        <v>1593</v>
      </c>
      <c r="C53" s="235"/>
      <c r="D53" s="63" t="s">
        <v>1594</v>
      </c>
      <c r="E53" s="63" t="s">
        <v>1595</v>
      </c>
      <c r="F53" s="30" t="s">
        <v>2267</v>
      </c>
      <c r="G53" s="27" t="s">
        <v>24</v>
      </c>
      <c r="H53" s="64"/>
    </row>
    <row r="54" spans="1:8" ht="51">
      <c r="A54" s="235"/>
      <c r="B54" s="25" t="s">
        <v>1596</v>
      </c>
      <c r="C54" s="235"/>
      <c r="D54" s="63" t="s">
        <v>1597</v>
      </c>
      <c r="E54" s="63" t="s">
        <v>1598</v>
      </c>
      <c r="F54" s="30" t="s">
        <v>2267</v>
      </c>
      <c r="G54" s="27" t="s">
        <v>24</v>
      </c>
      <c r="H54" s="64"/>
    </row>
    <row r="55" spans="1:8" ht="63.75">
      <c r="A55" s="234"/>
      <c r="B55" s="23" t="s">
        <v>1599</v>
      </c>
      <c r="C55" s="234"/>
      <c r="D55" s="23" t="s">
        <v>1600</v>
      </c>
      <c r="E55" s="23" t="s">
        <v>1601</v>
      </c>
      <c r="F55" s="30" t="s">
        <v>2267</v>
      </c>
      <c r="G55" s="30" t="s">
        <v>24</v>
      </c>
      <c r="H55" s="34"/>
    </row>
    <row r="56" spans="1:8" ht="76.5">
      <c r="A56" s="252" t="s">
        <v>1602</v>
      </c>
      <c r="B56" s="23" t="s">
        <v>1603</v>
      </c>
      <c r="C56" s="239" t="s">
        <v>1604</v>
      </c>
      <c r="D56" s="23" t="s">
        <v>1605</v>
      </c>
      <c r="E56" s="23" t="s">
        <v>1606</v>
      </c>
      <c r="F56" s="30" t="s">
        <v>2245</v>
      </c>
      <c r="G56" s="30" t="s">
        <v>24</v>
      </c>
      <c r="H56" s="34"/>
    </row>
    <row r="57" spans="1:8" ht="76.5">
      <c r="A57" s="235"/>
      <c r="B57" s="23" t="s">
        <v>1607</v>
      </c>
      <c r="C57" s="235"/>
      <c r="D57" s="23" t="s">
        <v>1608</v>
      </c>
      <c r="E57" s="23" t="s">
        <v>1609</v>
      </c>
      <c r="F57" s="30" t="s">
        <v>2245</v>
      </c>
      <c r="G57" s="30" t="s">
        <v>24</v>
      </c>
      <c r="H57" s="25"/>
    </row>
    <row r="58" spans="1:8" ht="76.5">
      <c r="A58" s="235"/>
      <c r="B58" s="23" t="s">
        <v>1610</v>
      </c>
      <c r="C58" s="235"/>
      <c r="D58" s="23" t="s">
        <v>1608</v>
      </c>
      <c r="E58" s="23" t="s">
        <v>1611</v>
      </c>
      <c r="F58" s="30" t="s">
        <v>2245</v>
      </c>
      <c r="G58" s="30" t="s">
        <v>24</v>
      </c>
      <c r="H58" s="25"/>
    </row>
    <row r="59" spans="1:8" ht="76.5">
      <c r="A59" s="235"/>
      <c r="B59" s="23" t="s">
        <v>1612</v>
      </c>
      <c r="C59" s="235"/>
      <c r="D59" s="23" t="s">
        <v>1613</v>
      </c>
      <c r="E59" s="23" t="s">
        <v>1614</v>
      </c>
      <c r="F59" s="30" t="s">
        <v>2245</v>
      </c>
      <c r="G59" s="30" t="s">
        <v>42</v>
      </c>
      <c r="H59" s="23" t="s">
        <v>1615</v>
      </c>
    </row>
    <row r="60" spans="1:8" ht="76.5">
      <c r="A60" s="235"/>
      <c r="B60" s="23" t="s">
        <v>1616</v>
      </c>
      <c r="C60" s="235"/>
      <c r="D60" s="23" t="s">
        <v>1608</v>
      </c>
      <c r="E60" s="23" t="s">
        <v>1617</v>
      </c>
      <c r="F60" s="30" t="s">
        <v>2245</v>
      </c>
      <c r="G60" s="30" t="s">
        <v>42</v>
      </c>
      <c r="H60" s="23" t="s">
        <v>1618</v>
      </c>
    </row>
    <row r="61" spans="1:8" ht="76.5">
      <c r="A61" s="234"/>
      <c r="B61" s="23" t="s">
        <v>1619</v>
      </c>
      <c r="C61" s="235"/>
      <c r="D61" s="23" t="s">
        <v>1608</v>
      </c>
      <c r="E61" s="23" t="s">
        <v>1620</v>
      </c>
      <c r="F61" s="30" t="s">
        <v>2245</v>
      </c>
      <c r="G61" s="30" t="s">
        <v>24</v>
      </c>
      <c r="H61" s="23"/>
    </row>
    <row r="62" spans="1:8" ht="51">
      <c r="A62" s="61" t="s">
        <v>1621</v>
      </c>
      <c r="B62" s="23" t="s">
        <v>1622</v>
      </c>
      <c r="C62" s="234"/>
      <c r="D62" s="63" t="s">
        <v>1623</v>
      </c>
      <c r="E62" s="63" t="s">
        <v>1624</v>
      </c>
      <c r="F62" s="30" t="s">
        <v>2245</v>
      </c>
      <c r="G62" s="27" t="s">
        <v>42</v>
      </c>
      <c r="H62" s="86" t="s">
        <v>1625</v>
      </c>
    </row>
    <row r="63" spans="1:8" ht="12.75">
      <c r="A63" s="263" t="s">
        <v>1626</v>
      </c>
      <c r="B63" s="260"/>
      <c r="C63" s="260"/>
      <c r="D63" s="260"/>
      <c r="E63" s="260"/>
      <c r="F63" s="260"/>
      <c r="G63" s="260"/>
      <c r="H63" s="264"/>
    </row>
    <row r="64" spans="1:8" ht="89.25">
      <c r="A64" s="61" t="s">
        <v>1627</v>
      </c>
      <c r="B64" s="24" t="s">
        <v>1628</v>
      </c>
      <c r="C64" s="33" t="s">
        <v>1629</v>
      </c>
      <c r="D64" s="62" t="s">
        <v>1630</v>
      </c>
      <c r="E64" s="62" t="s">
        <v>1631</v>
      </c>
      <c r="F64" s="31" t="s">
        <v>2275</v>
      </c>
      <c r="G64" s="60" t="s">
        <v>24</v>
      </c>
      <c r="H64" s="87"/>
    </row>
    <row r="65" spans="1:26" ht="51">
      <c r="A65" s="61" t="s">
        <v>1632</v>
      </c>
      <c r="B65" s="24" t="s">
        <v>1633</v>
      </c>
      <c r="C65" s="24" t="s">
        <v>1634</v>
      </c>
      <c r="D65" s="62" t="s">
        <v>1635</v>
      </c>
      <c r="E65" s="62" t="s">
        <v>1636</v>
      </c>
      <c r="F65" s="31" t="s">
        <v>2275</v>
      </c>
      <c r="G65" s="60" t="s">
        <v>24</v>
      </c>
      <c r="H65" s="87"/>
    </row>
    <row r="66" spans="1:26" ht="51">
      <c r="A66" s="61" t="s">
        <v>1637</v>
      </c>
      <c r="B66" s="24" t="s">
        <v>1638</v>
      </c>
      <c r="C66" s="239" t="s">
        <v>1639</v>
      </c>
      <c r="D66" s="62" t="s">
        <v>1640</v>
      </c>
      <c r="E66" s="62" t="s">
        <v>1641</v>
      </c>
      <c r="F66" s="31" t="s">
        <v>2275</v>
      </c>
      <c r="G66" s="60" t="s">
        <v>24</v>
      </c>
      <c r="H66" s="87"/>
    </row>
    <row r="67" spans="1:26" ht="63.75">
      <c r="A67" s="61" t="s">
        <v>1642</v>
      </c>
      <c r="B67" s="24" t="s">
        <v>1643</v>
      </c>
      <c r="C67" s="235"/>
      <c r="D67" s="62" t="s">
        <v>1644</v>
      </c>
      <c r="E67" s="62" t="s">
        <v>1645</v>
      </c>
      <c r="F67" s="31" t="s">
        <v>2275</v>
      </c>
      <c r="G67" s="60" t="s">
        <v>24</v>
      </c>
      <c r="H67" s="87"/>
    </row>
    <row r="68" spans="1:26" ht="12.75">
      <c r="A68" s="265" t="s">
        <v>1646</v>
      </c>
      <c r="B68" s="260"/>
      <c r="C68" s="260"/>
      <c r="D68" s="260"/>
      <c r="E68" s="260"/>
      <c r="F68" s="260"/>
      <c r="G68" s="260"/>
      <c r="H68" s="264"/>
    </row>
    <row r="69" spans="1:26" ht="51">
      <c r="A69" s="61" t="s">
        <v>1647</v>
      </c>
      <c r="B69" s="24" t="s">
        <v>1648</v>
      </c>
      <c r="C69" s="33" t="s">
        <v>1629</v>
      </c>
      <c r="D69" s="23" t="s">
        <v>1649</v>
      </c>
      <c r="E69" s="62" t="s">
        <v>1650</v>
      </c>
      <c r="F69" s="231" t="s">
        <v>2323</v>
      </c>
      <c r="G69" s="60" t="s">
        <v>24</v>
      </c>
      <c r="H69" s="88"/>
    </row>
    <row r="70" spans="1:26" ht="51">
      <c r="A70" s="61" t="s">
        <v>1651</v>
      </c>
      <c r="B70" s="24" t="s">
        <v>1652</v>
      </c>
      <c r="C70" s="24" t="s">
        <v>1653</v>
      </c>
      <c r="D70" s="62" t="s">
        <v>1654</v>
      </c>
      <c r="E70" s="62" t="s">
        <v>1655</v>
      </c>
      <c r="F70" s="232" t="s">
        <v>2323</v>
      </c>
      <c r="G70" s="60" t="s">
        <v>24</v>
      </c>
      <c r="H70" s="88"/>
    </row>
    <row r="71" spans="1:26" ht="51">
      <c r="A71" s="61" t="s">
        <v>1656</v>
      </c>
      <c r="B71" s="24" t="s">
        <v>1657</v>
      </c>
      <c r="C71" s="89" t="s">
        <v>1658</v>
      </c>
      <c r="D71" s="62" t="s">
        <v>1659</v>
      </c>
      <c r="E71" s="62" t="s">
        <v>1660</v>
      </c>
      <c r="F71" s="232" t="s">
        <v>2323</v>
      </c>
      <c r="G71" s="60" t="s">
        <v>24</v>
      </c>
      <c r="H71" s="88"/>
    </row>
    <row r="72" spans="1:26" ht="63.75">
      <c r="A72" s="61" t="s">
        <v>1661</v>
      </c>
      <c r="B72" s="24" t="s">
        <v>1662</v>
      </c>
      <c r="C72" s="89" t="s">
        <v>1663</v>
      </c>
      <c r="D72" s="62" t="s">
        <v>1664</v>
      </c>
      <c r="E72" s="62" t="s">
        <v>1665</v>
      </c>
      <c r="F72" s="232" t="s">
        <v>2323</v>
      </c>
      <c r="G72" s="60" t="s">
        <v>24</v>
      </c>
      <c r="H72" s="88"/>
    </row>
    <row r="73" spans="1:26" ht="12.75">
      <c r="A73" s="236" t="s">
        <v>1666</v>
      </c>
      <c r="B73" s="237"/>
      <c r="C73" s="237"/>
      <c r="D73" s="237"/>
      <c r="E73" s="237"/>
      <c r="F73" s="237"/>
      <c r="G73" s="237"/>
      <c r="H73" s="238"/>
    </row>
    <row r="74" spans="1:26" ht="63.75">
      <c r="A74" s="233" t="s">
        <v>1667</v>
      </c>
      <c r="B74" s="23" t="s">
        <v>1668</v>
      </c>
      <c r="C74" s="23" t="s">
        <v>1055</v>
      </c>
      <c r="D74" s="23" t="s">
        <v>1669</v>
      </c>
      <c r="E74" s="23" t="s">
        <v>1670</v>
      </c>
      <c r="F74" s="30" t="s">
        <v>2285</v>
      </c>
      <c r="G74" s="30" t="s">
        <v>24</v>
      </c>
      <c r="H74" s="34"/>
    </row>
    <row r="75" spans="1:26" ht="76.5">
      <c r="A75" s="235"/>
      <c r="B75" s="23" t="s">
        <v>1671</v>
      </c>
      <c r="C75" s="23" t="s">
        <v>1604</v>
      </c>
      <c r="D75" s="23" t="s">
        <v>1672</v>
      </c>
      <c r="E75" s="23" t="s">
        <v>1673</v>
      </c>
      <c r="F75" s="30" t="s">
        <v>2265</v>
      </c>
      <c r="G75" s="30" t="s">
        <v>24</v>
      </c>
      <c r="H75" s="34"/>
    </row>
    <row r="76" spans="1:26" ht="76.5">
      <c r="A76" s="235"/>
      <c r="B76" s="23" t="s">
        <v>1674</v>
      </c>
      <c r="C76" s="23" t="s">
        <v>1604</v>
      </c>
      <c r="D76" s="23" t="s">
        <v>1675</v>
      </c>
      <c r="E76" s="23" t="s">
        <v>1676</v>
      </c>
      <c r="F76" s="30" t="s">
        <v>2265</v>
      </c>
      <c r="G76" s="30" t="s">
        <v>24</v>
      </c>
      <c r="H76" s="34"/>
    </row>
    <row r="77" spans="1:26" ht="63.75">
      <c r="A77" s="234"/>
      <c r="B77" s="23" t="s">
        <v>1677</v>
      </c>
      <c r="C77" s="23" t="s">
        <v>1604</v>
      </c>
      <c r="D77" s="23" t="s">
        <v>1678</v>
      </c>
      <c r="E77" s="23" t="s">
        <v>1679</v>
      </c>
      <c r="F77" s="30" t="s">
        <v>2265</v>
      </c>
      <c r="G77" s="30" t="s">
        <v>24</v>
      </c>
      <c r="H77" s="34"/>
    </row>
    <row r="78" spans="1:26" ht="38.25">
      <c r="A78" s="37" t="s">
        <v>1680</v>
      </c>
      <c r="B78" s="23" t="s">
        <v>1681</v>
      </c>
      <c r="C78" s="23" t="s">
        <v>1682</v>
      </c>
      <c r="D78" s="23" t="s">
        <v>1683</v>
      </c>
      <c r="E78" s="23" t="s">
        <v>1684</v>
      </c>
      <c r="F78" s="30" t="s">
        <v>2270</v>
      </c>
      <c r="G78" s="30" t="s">
        <v>24</v>
      </c>
      <c r="H78" s="25"/>
    </row>
    <row r="79" spans="1:26" ht="12.75">
      <c r="A79" s="233" t="s">
        <v>1685</v>
      </c>
      <c r="B79" s="244" t="s">
        <v>1686</v>
      </c>
      <c r="C79" s="239" t="s">
        <v>1604</v>
      </c>
      <c r="D79" s="239" t="s">
        <v>1687</v>
      </c>
      <c r="E79" s="239" t="s">
        <v>1688</v>
      </c>
      <c r="F79" s="275" t="s">
        <v>2281</v>
      </c>
      <c r="G79" s="247" t="s">
        <v>24</v>
      </c>
      <c r="H79" s="34"/>
    </row>
    <row r="80" spans="1:26" ht="12.75">
      <c r="A80" s="235"/>
      <c r="B80" s="235"/>
      <c r="C80" s="235"/>
      <c r="D80" s="235"/>
      <c r="E80" s="235"/>
      <c r="F80" s="235"/>
      <c r="G80" s="235"/>
      <c r="H80" s="57"/>
      <c r="I80" s="69"/>
      <c r="J80" s="69"/>
      <c r="K80" s="69"/>
      <c r="L80" s="69"/>
      <c r="M80" s="69"/>
      <c r="N80" s="69"/>
      <c r="O80" s="69"/>
      <c r="P80" s="69"/>
      <c r="Q80" s="69"/>
      <c r="R80" s="69"/>
      <c r="S80" s="69"/>
      <c r="T80" s="69"/>
      <c r="U80" s="69"/>
      <c r="V80" s="69"/>
      <c r="W80" s="69"/>
      <c r="X80" s="69"/>
      <c r="Y80" s="69"/>
      <c r="Z80" s="69"/>
    </row>
    <row r="81" spans="1:26" ht="12.75">
      <c r="A81" s="234"/>
      <c r="B81" s="234"/>
      <c r="C81" s="234"/>
      <c r="D81" s="234"/>
      <c r="E81" s="234"/>
      <c r="F81" s="234"/>
      <c r="G81" s="234"/>
      <c r="H81" s="34"/>
    </row>
    <row r="82" spans="1:26" ht="12.75">
      <c r="A82" s="236" t="s">
        <v>1689</v>
      </c>
      <c r="B82" s="237"/>
      <c r="C82" s="237"/>
      <c r="D82" s="237"/>
      <c r="E82" s="237"/>
      <c r="F82" s="237"/>
      <c r="G82" s="237"/>
      <c r="H82" s="238"/>
      <c r="I82" s="39"/>
      <c r="J82" s="39"/>
      <c r="K82" s="39"/>
      <c r="L82" s="39"/>
      <c r="M82" s="39"/>
      <c r="N82" s="39"/>
      <c r="O82" s="39"/>
      <c r="P82" s="39"/>
      <c r="Q82" s="39"/>
      <c r="R82" s="39"/>
      <c r="S82" s="39"/>
      <c r="T82" s="39"/>
      <c r="U82" s="39"/>
      <c r="V82" s="39"/>
      <c r="W82" s="39"/>
      <c r="X82" s="39"/>
      <c r="Y82" s="39"/>
      <c r="Z82" s="39"/>
    </row>
    <row r="83" spans="1:26" ht="66.75" customHeight="1">
      <c r="A83" s="22" t="s">
        <v>1690</v>
      </c>
      <c r="B83" s="23" t="s">
        <v>1691</v>
      </c>
      <c r="C83" s="23" t="s">
        <v>1692</v>
      </c>
      <c r="D83" s="23" t="s">
        <v>1693</v>
      </c>
      <c r="E83" s="23" t="s">
        <v>1694</v>
      </c>
      <c r="F83" s="30" t="s">
        <v>2272</v>
      </c>
      <c r="G83" s="27" t="s">
        <v>24</v>
      </c>
      <c r="H83" s="23"/>
      <c r="I83" s="39"/>
      <c r="J83" s="39"/>
      <c r="K83" s="39"/>
      <c r="L83" s="39"/>
      <c r="M83" s="39"/>
      <c r="N83" s="39"/>
      <c r="O83" s="39"/>
      <c r="P83" s="39"/>
      <c r="Q83" s="39"/>
      <c r="R83" s="39"/>
      <c r="S83" s="39"/>
      <c r="T83" s="39"/>
      <c r="U83" s="39"/>
      <c r="V83" s="39"/>
      <c r="W83" s="39"/>
      <c r="X83" s="39"/>
      <c r="Y83" s="39"/>
      <c r="Z83" s="39"/>
    </row>
    <row r="84" spans="1:26" ht="76.5">
      <c r="A84" s="233" t="s">
        <v>1695</v>
      </c>
      <c r="B84" s="23" t="s">
        <v>1668</v>
      </c>
      <c r="C84" s="251" t="s">
        <v>1696</v>
      </c>
      <c r="D84" s="23" t="s">
        <v>1697</v>
      </c>
      <c r="E84" s="23" t="s">
        <v>1698</v>
      </c>
      <c r="F84" s="30" t="s">
        <v>2272</v>
      </c>
      <c r="G84" s="27" t="s">
        <v>24</v>
      </c>
      <c r="H84" s="40"/>
      <c r="I84" s="39"/>
      <c r="J84" s="39"/>
      <c r="K84" s="39"/>
      <c r="L84" s="39"/>
      <c r="M84" s="39"/>
      <c r="N84" s="39"/>
      <c r="O84" s="39"/>
      <c r="P84" s="39"/>
      <c r="Q84" s="39"/>
      <c r="R84" s="39"/>
      <c r="S84" s="39"/>
      <c r="T84" s="39"/>
      <c r="U84" s="39"/>
      <c r="V84" s="39"/>
      <c r="W84" s="39"/>
      <c r="X84" s="39"/>
      <c r="Y84" s="39"/>
      <c r="Z84" s="39"/>
    </row>
    <row r="85" spans="1:26" ht="89.25">
      <c r="A85" s="235"/>
      <c r="B85" s="23" t="s">
        <v>1699</v>
      </c>
      <c r="C85" s="235"/>
      <c r="D85" s="23" t="s">
        <v>1700</v>
      </c>
      <c r="E85" s="23" t="s">
        <v>1673</v>
      </c>
      <c r="F85" s="30" t="s">
        <v>2272</v>
      </c>
      <c r="G85" s="27" t="s">
        <v>24</v>
      </c>
      <c r="H85" s="40"/>
      <c r="I85" s="39"/>
      <c r="J85" s="39"/>
      <c r="K85" s="39"/>
      <c r="L85" s="39"/>
      <c r="M85" s="39"/>
      <c r="N85" s="39"/>
      <c r="O85" s="39"/>
      <c r="P85" s="39"/>
      <c r="Q85" s="39"/>
      <c r="R85" s="39"/>
      <c r="S85" s="39"/>
      <c r="T85" s="39"/>
      <c r="U85" s="39"/>
      <c r="V85" s="39"/>
      <c r="W85" s="39"/>
      <c r="X85" s="39"/>
      <c r="Y85" s="39"/>
      <c r="Z85" s="39"/>
    </row>
    <row r="86" spans="1:26" ht="89.25">
      <c r="A86" s="235"/>
      <c r="B86" s="23" t="s">
        <v>1701</v>
      </c>
      <c r="C86" s="235"/>
      <c r="D86" s="23" t="s">
        <v>1702</v>
      </c>
      <c r="E86" s="23" t="s">
        <v>1703</v>
      </c>
      <c r="F86" s="30" t="s">
        <v>2272</v>
      </c>
      <c r="G86" s="27" t="s">
        <v>24</v>
      </c>
      <c r="H86" s="23" t="s">
        <v>2324</v>
      </c>
      <c r="I86" s="39"/>
      <c r="J86" s="39"/>
      <c r="K86" s="39"/>
      <c r="L86" s="39"/>
      <c r="M86" s="39"/>
      <c r="N86" s="39"/>
      <c r="O86" s="39"/>
      <c r="P86" s="39"/>
      <c r="Q86" s="39"/>
      <c r="R86" s="39"/>
      <c r="S86" s="39"/>
      <c r="T86" s="39"/>
      <c r="U86" s="39"/>
      <c r="V86" s="39"/>
      <c r="W86" s="39"/>
      <c r="X86" s="39"/>
      <c r="Y86" s="39"/>
      <c r="Z86" s="39"/>
    </row>
    <row r="87" spans="1:26" ht="76.5">
      <c r="A87" s="234"/>
      <c r="B87" s="23" t="s">
        <v>1704</v>
      </c>
      <c r="C87" s="234"/>
      <c r="D87" s="23" t="s">
        <v>1705</v>
      </c>
      <c r="E87" s="23" t="s">
        <v>1706</v>
      </c>
      <c r="F87" s="30" t="s">
        <v>2272</v>
      </c>
      <c r="G87" s="27" t="s">
        <v>24</v>
      </c>
      <c r="H87" s="40"/>
      <c r="I87" s="39"/>
      <c r="J87" s="39"/>
      <c r="K87" s="39"/>
      <c r="L87" s="39"/>
      <c r="M87" s="39"/>
      <c r="N87" s="39"/>
      <c r="O87" s="39"/>
      <c r="P87" s="39"/>
      <c r="Q87" s="39"/>
      <c r="R87" s="39"/>
      <c r="S87" s="39"/>
      <c r="T87" s="39"/>
      <c r="U87" s="39"/>
      <c r="V87" s="39"/>
      <c r="W87" s="39"/>
      <c r="X87" s="39"/>
      <c r="Y87" s="39"/>
      <c r="Z87" s="39"/>
    </row>
    <row r="88" spans="1:26" ht="51">
      <c r="A88" s="233" t="s">
        <v>1707</v>
      </c>
      <c r="B88" s="23" t="s">
        <v>1708</v>
      </c>
      <c r="C88" s="248" t="s">
        <v>1709</v>
      </c>
      <c r="D88" s="23" t="s">
        <v>1710</v>
      </c>
      <c r="E88" s="23" t="s">
        <v>1711</v>
      </c>
      <c r="F88" s="30" t="s">
        <v>2272</v>
      </c>
      <c r="G88" s="27" t="s">
        <v>24</v>
      </c>
      <c r="H88" s="23"/>
      <c r="I88" s="39"/>
      <c r="J88" s="39"/>
      <c r="K88" s="39"/>
      <c r="L88" s="39"/>
      <c r="M88" s="39"/>
      <c r="N88" s="39"/>
      <c r="O88" s="39"/>
      <c r="P88" s="39"/>
      <c r="Q88" s="39"/>
      <c r="R88" s="39"/>
      <c r="S88" s="39"/>
      <c r="T88" s="39"/>
      <c r="U88" s="39"/>
      <c r="V88" s="39"/>
      <c r="W88" s="39"/>
      <c r="X88" s="39"/>
      <c r="Y88" s="39"/>
      <c r="Z88" s="39"/>
    </row>
    <row r="89" spans="1:26" ht="51">
      <c r="A89" s="235"/>
      <c r="B89" s="23" t="s">
        <v>575</v>
      </c>
      <c r="C89" s="235"/>
      <c r="D89" s="23" t="s">
        <v>1712</v>
      </c>
      <c r="E89" s="23" t="s">
        <v>1713</v>
      </c>
      <c r="F89" s="30" t="s">
        <v>2272</v>
      </c>
      <c r="G89" s="27" t="s">
        <v>24</v>
      </c>
      <c r="H89" s="40"/>
      <c r="I89" s="39"/>
      <c r="J89" s="39"/>
      <c r="K89" s="39"/>
      <c r="L89" s="39"/>
      <c r="M89" s="39"/>
      <c r="N89" s="39"/>
      <c r="O89" s="39"/>
      <c r="P89" s="39"/>
      <c r="Q89" s="39"/>
      <c r="R89" s="39"/>
      <c r="S89" s="39"/>
      <c r="T89" s="39"/>
      <c r="U89" s="39"/>
      <c r="V89" s="39"/>
      <c r="W89" s="39"/>
      <c r="X89" s="39"/>
      <c r="Y89" s="39"/>
      <c r="Z89" s="39"/>
    </row>
    <row r="90" spans="1:26" ht="51">
      <c r="A90" s="235"/>
      <c r="B90" s="23" t="s">
        <v>867</v>
      </c>
      <c r="C90" s="235"/>
      <c r="D90" s="23" t="s">
        <v>1714</v>
      </c>
      <c r="E90" s="23" t="s">
        <v>1715</v>
      </c>
      <c r="F90" s="30" t="s">
        <v>2272</v>
      </c>
      <c r="G90" s="27" t="s">
        <v>24</v>
      </c>
      <c r="H90" s="40"/>
      <c r="I90" s="39"/>
      <c r="J90" s="39"/>
      <c r="K90" s="39"/>
      <c r="L90" s="39"/>
      <c r="M90" s="39"/>
      <c r="N90" s="39"/>
      <c r="O90" s="39"/>
      <c r="P90" s="39"/>
      <c r="Q90" s="39"/>
      <c r="R90" s="39"/>
      <c r="S90" s="39"/>
      <c r="T90" s="39"/>
      <c r="U90" s="39"/>
      <c r="V90" s="39"/>
      <c r="W90" s="39"/>
      <c r="X90" s="39"/>
      <c r="Y90" s="39"/>
      <c r="Z90" s="39"/>
    </row>
    <row r="91" spans="1:26" ht="51">
      <c r="A91" s="235"/>
      <c r="B91" s="23" t="s">
        <v>870</v>
      </c>
      <c r="C91" s="235"/>
      <c r="D91" s="23" t="s">
        <v>1716</v>
      </c>
      <c r="E91" s="23" t="s">
        <v>1717</v>
      </c>
      <c r="F91" s="30" t="s">
        <v>2272</v>
      </c>
      <c r="G91" s="27" t="s">
        <v>24</v>
      </c>
      <c r="H91" s="40"/>
      <c r="I91" s="39"/>
      <c r="J91" s="39"/>
      <c r="K91" s="39"/>
      <c r="L91" s="39"/>
      <c r="M91" s="39"/>
      <c r="N91" s="39"/>
      <c r="O91" s="39"/>
      <c r="P91" s="39"/>
      <c r="Q91" s="39"/>
      <c r="R91" s="39"/>
      <c r="S91" s="39"/>
      <c r="T91" s="39"/>
      <c r="U91" s="39"/>
      <c r="V91" s="39"/>
      <c r="W91" s="39"/>
      <c r="X91" s="39"/>
      <c r="Y91" s="39"/>
      <c r="Z91" s="39"/>
    </row>
    <row r="92" spans="1:26" ht="63.75">
      <c r="A92" s="235"/>
      <c r="B92" s="23" t="s">
        <v>593</v>
      </c>
      <c r="C92" s="235"/>
      <c r="D92" s="23" t="s">
        <v>1718</v>
      </c>
      <c r="E92" s="23" t="s">
        <v>1719</v>
      </c>
      <c r="F92" s="30" t="s">
        <v>2272</v>
      </c>
      <c r="G92" s="27" t="s">
        <v>24</v>
      </c>
      <c r="H92" s="40"/>
      <c r="I92" s="39"/>
      <c r="J92" s="39"/>
      <c r="K92" s="39"/>
      <c r="L92" s="39"/>
      <c r="M92" s="39"/>
      <c r="N92" s="39"/>
      <c r="O92" s="39"/>
      <c r="P92" s="39"/>
      <c r="Q92" s="39"/>
      <c r="R92" s="39"/>
      <c r="S92" s="39"/>
      <c r="T92" s="39"/>
      <c r="U92" s="39"/>
      <c r="V92" s="39"/>
      <c r="W92" s="39"/>
      <c r="X92" s="39"/>
      <c r="Y92" s="39"/>
      <c r="Z92" s="39"/>
    </row>
    <row r="93" spans="1:26" ht="38.25">
      <c r="A93" s="234"/>
      <c r="B93" s="23" t="s">
        <v>1720</v>
      </c>
      <c r="C93" s="234"/>
      <c r="D93" s="23" t="s">
        <v>1721</v>
      </c>
      <c r="E93" s="23" t="s">
        <v>1722</v>
      </c>
      <c r="F93" s="30" t="s">
        <v>2272</v>
      </c>
      <c r="G93" s="27" t="s">
        <v>24</v>
      </c>
      <c r="H93" s="40"/>
      <c r="I93" s="39"/>
      <c r="J93" s="39"/>
      <c r="K93" s="39"/>
      <c r="L93" s="39"/>
      <c r="M93" s="39"/>
      <c r="N93" s="39"/>
      <c r="O93" s="39"/>
      <c r="P93" s="39"/>
      <c r="Q93" s="39"/>
      <c r="R93" s="39"/>
      <c r="S93" s="39"/>
      <c r="T93" s="39"/>
      <c r="U93" s="39"/>
      <c r="V93" s="39"/>
      <c r="W93" s="39"/>
      <c r="X93" s="39"/>
      <c r="Y93" s="39"/>
      <c r="Z93" s="39"/>
    </row>
    <row r="94" spans="1:26" ht="12.75">
      <c r="A94" s="236" t="s">
        <v>1723</v>
      </c>
      <c r="B94" s="237"/>
      <c r="C94" s="237"/>
      <c r="D94" s="237"/>
      <c r="E94" s="237"/>
      <c r="F94" s="237"/>
      <c r="G94" s="237"/>
      <c r="H94" s="238"/>
      <c r="I94" s="39"/>
      <c r="J94" s="39"/>
      <c r="K94" s="39"/>
      <c r="L94" s="39"/>
      <c r="M94" s="39"/>
      <c r="N94" s="39"/>
      <c r="O94" s="39"/>
      <c r="P94" s="39"/>
      <c r="Q94" s="39"/>
      <c r="R94" s="39"/>
      <c r="S94" s="39"/>
      <c r="T94" s="39"/>
      <c r="U94" s="39"/>
      <c r="V94" s="39"/>
      <c r="W94" s="39"/>
      <c r="X94" s="39"/>
      <c r="Y94" s="39"/>
      <c r="Z94" s="39"/>
    </row>
    <row r="95" spans="1:26" ht="25.5">
      <c r="A95" s="233" t="s">
        <v>1724</v>
      </c>
      <c r="B95" s="25" t="s">
        <v>1725</v>
      </c>
      <c r="C95" s="253" t="s">
        <v>1726</v>
      </c>
      <c r="D95" s="25" t="s">
        <v>1727</v>
      </c>
      <c r="E95" s="25" t="s">
        <v>1728</v>
      </c>
      <c r="F95" s="224" t="s">
        <v>2267</v>
      </c>
      <c r="G95" s="27" t="s">
        <v>24</v>
      </c>
      <c r="H95" s="25"/>
    </row>
    <row r="96" spans="1:26" ht="12.75">
      <c r="A96" s="235"/>
      <c r="B96" s="57" t="s">
        <v>1729</v>
      </c>
      <c r="C96" s="235"/>
      <c r="D96" s="57" t="s">
        <v>1730</v>
      </c>
      <c r="E96" s="25" t="s">
        <v>1731</v>
      </c>
      <c r="F96" s="224" t="s">
        <v>2267</v>
      </c>
      <c r="G96" s="27" t="s">
        <v>24</v>
      </c>
      <c r="H96" s="25"/>
    </row>
    <row r="97" spans="1:8" ht="25.5">
      <c r="A97" s="235"/>
      <c r="B97" s="57" t="s">
        <v>1732</v>
      </c>
      <c r="C97" s="235"/>
      <c r="D97" s="25" t="s">
        <v>1733</v>
      </c>
      <c r="E97" s="25" t="s">
        <v>1734</v>
      </c>
      <c r="F97" s="224" t="s">
        <v>2267</v>
      </c>
      <c r="G97" s="27" t="s">
        <v>24</v>
      </c>
      <c r="H97" s="25"/>
    </row>
    <row r="98" spans="1:8" ht="63.75">
      <c r="A98" s="234"/>
      <c r="B98" s="57" t="s">
        <v>1735</v>
      </c>
      <c r="C98" s="234"/>
      <c r="D98" s="90" t="s">
        <v>1736</v>
      </c>
      <c r="E98" s="25" t="s">
        <v>1737</v>
      </c>
      <c r="F98" s="224" t="s">
        <v>2267</v>
      </c>
      <c r="G98" s="27" t="s">
        <v>24</v>
      </c>
      <c r="H98" s="28"/>
    </row>
    <row r="99" spans="1:8">
      <c r="A99" s="91"/>
      <c r="B99" s="91"/>
      <c r="C99" s="91"/>
      <c r="D99" s="91"/>
      <c r="E99" s="91"/>
      <c r="F99" s="91"/>
      <c r="G99" s="91"/>
      <c r="H99" s="91"/>
    </row>
    <row r="100" spans="1:8" ht="12.75">
      <c r="A100" s="92"/>
      <c r="B100" s="93"/>
      <c r="C100" s="94"/>
      <c r="D100" s="95"/>
      <c r="E100" s="95"/>
      <c r="F100" s="98"/>
      <c r="G100" s="96"/>
      <c r="H100" s="97"/>
    </row>
    <row r="101" spans="1:8" ht="12.75">
      <c r="A101" s="92"/>
      <c r="B101" s="93"/>
      <c r="C101" s="94"/>
      <c r="D101" s="95"/>
      <c r="E101" s="95"/>
      <c r="F101" s="98"/>
      <c r="G101" s="96"/>
      <c r="H101" s="97"/>
    </row>
    <row r="102" spans="1:8" ht="12.75">
      <c r="A102" s="92"/>
      <c r="B102" s="93"/>
      <c r="C102" s="94"/>
      <c r="D102" s="95"/>
      <c r="E102" s="95"/>
      <c r="F102" s="98"/>
      <c r="G102" s="96"/>
      <c r="H102" s="97"/>
    </row>
    <row r="103" spans="1:8" ht="12.75">
      <c r="A103" s="92"/>
      <c r="B103" s="93"/>
      <c r="C103" s="94"/>
      <c r="D103" s="95"/>
      <c r="E103" s="95"/>
      <c r="F103" s="98"/>
      <c r="G103" s="96"/>
      <c r="H103" s="97"/>
    </row>
    <row r="104" spans="1:8" ht="12.75">
      <c r="A104" s="92"/>
      <c r="B104" s="93"/>
      <c r="C104" s="94"/>
      <c r="D104" s="95"/>
      <c r="E104" s="95"/>
      <c r="F104" s="98"/>
      <c r="G104" s="96"/>
      <c r="H104" s="97"/>
    </row>
    <row r="105" spans="1:8" ht="12.75">
      <c r="A105" s="92"/>
      <c r="B105" s="93"/>
      <c r="C105" s="94"/>
      <c r="D105" s="95"/>
      <c r="E105" s="95"/>
      <c r="F105" s="98"/>
      <c r="G105" s="96"/>
      <c r="H105" s="97"/>
    </row>
    <row r="106" spans="1:8" ht="12.75">
      <c r="A106" s="92"/>
      <c r="B106" s="93"/>
      <c r="C106" s="92"/>
      <c r="D106" s="95"/>
      <c r="E106" s="95"/>
      <c r="F106" s="98"/>
      <c r="G106" s="96"/>
      <c r="H106" s="97"/>
    </row>
    <row r="107" spans="1:8" ht="12.75">
      <c r="A107" s="93"/>
      <c r="B107" s="94"/>
      <c r="C107" s="94"/>
      <c r="D107" s="98"/>
      <c r="E107" s="92"/>
      <c r="F107" s="94"/>
      <c r="G107" s="96"/>
      <c r="H107" s="97"/>
    </row>
    <row r="108" spans="1:8" ht="12.75">
      <c r="A108" s="92"/>
      <c r="B108" s="94"/>
      <c r="C108" s="94"/>
      <c r="D108" s="98"/>
      <c r="E108" s="92"/>
      <c r="F108" s="94"/>
      <c r="G108" s="96"/>
      <c r="H108" s="97"/>
    </row>
  </sheetData>
  <mergeCells count="46">
    <mergeCell ref="A88:A93"/>
    <mergeCell ref="A95:A98"/>
    <mergeCell ref="C95:C98"/>
    <mergeCell ref="D79:D81"/>
    <mergeCell ref="E79:E81"/>
    <mergeCell ref="A82:H82"/>
    <mergeCell ref="A84:A87"/>
    <mergeCell ref="C84:C87"/>
    <mergeCell ref="C88:C93"/>
    <mergeCell ref="A94:H94"/>
    <mergeCell ref="A49:A55"/>
    <mergeCell ref="C49:C55"/>
    <mergeCell ref="A56:A61"/>
    <mergeCell ref="C56:C62"/>
    <mergeCell ref="A63:H63"/>
    <mergeCell ref="E43:E48"/>
    <mergeCell ref="F43:F48"/>
    <mergeCell ref="G43:G48"/>
    <mergeCell ref="H43:H48"/>
    <mergeCell ref="A29:A31"/>
    <mergeCell ref="C29:C31"/>
    <mergeCell ref="A33:A41"/>
    <mergeCell ref="C33:C41"/>
    <mergeCell ref="A42:H42"/>
    <mergeCell ref="A43:A48"/>
    <mergeCell ref="B43:B48"/>
    <mergeCell ref="C43:C48"/>
    <mergeCell ref="D43:D48"/>
    <mergeCell ref="C23:C28"/>
    <mergeCell ref="D25:D26"/>
    <mergeCell ref="A1:D1"/>
    <mergeCell ref="D3:D7"/>
    <mergeCell ref="A10:H10"/>
    <mergeCell ref="A11:A21"/>
    <mergeCell ref="C11:C21"/>
    <mergeCell ref="A22:H22"/>
    <mergeCell ref="A23:A28"/>
    <mergeCell ref="F79:F81"/>
    <mergeCell ref="G79:G81"/>
    <mergeCell ref="C66:C67"/>
    <mergeCell ref="A68:H68"/>
    <mergeCell ref="A73:H73"/>
    <mergeCell ref="A74:A77"/>
    <mergeCell ref="A79:A81"/>
    <mergeCell ref="B79:B81"/>
    <mergeCell ref="C79:C81"/>
  </mergeCells>
  <dataValidations count="1">
    <dataValidation type="list" allowBlank="1" showErrorMessage="1" sqref="G11:G21 G23:G41 G43 G49:G62 G64:G67 G69:G72 G74:G79 G83:G93 G95:G98" xr:uid="{00000000-0002-0000-2100-000000000000}">
      <formula1>"PASSED,FAILED,IN PROGRESS,NOT YET STARTED,LOCAL READY"</formula1>
    </dataValidation>
  </dataValidations>
  <hyperlinks>
    <hyperlink ref="H43" r:id="rId1" xr:uid="{00000000-0004-0000-2100-000000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REGRESSION TEMPLATE</vt:lpstr>
      <vt:lpstr>Regression 81225</vt:lpstr>
      <vt:lpstr>Regression 81325</vt:lpstr>
      <vt:lpstr>Regression - June 23, 2025</vt:lpstr>
      <vt:lpstr>Regression - April 2, 2025</vt:lpstr>
      <vt:lpstr>Regression - March 24, 2025</vt:lpstr>
      <vt:lpstr>Regression - March 21, 2025</vt:lpstr>
      <vt:lpstr>71525 - ADMIN</vt:lpstr>
      <vt:lpstr>71525 - TAX PAYER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ELLO, JOHN IVAN P.</cp:lastModifiedBy>
  <dcterms:modified xsi:type="dcterms:W3CDTF">2026-03-15T11:46:28Z</dcterms:modified>
</cp:coreProperties>
</file>